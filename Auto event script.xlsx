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E\lt-maker\"/>
    </mc:Choice>
  </mc:AlternateContent>
  <xr:revisionPtr revIDLastSave="0" documentId="13_ncr:1_{9CBBE459-A7BF-42C7-9BD1-6111AD9DA679}" xr6:coauthVersionLast="47" xr6:coauthVersionMax="47" xr10:uidLastSave="{00000000-0000-0000-0000-000000000000}"/>
  <bookViews>
    <workbookView xWindow="-108" yWindow="-108" windowWidth="23256" windowHeight="12576" xr2:uid="{8E0F047B-701A-4951-B23D-E04F5C53C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2" i="1"/>
  <c r="P6" i="1"/>
  <c r="P12" i="1"/>
  <c r="P3" i="1"/>
  <c r="P4" i="1"/>
  <c r="P5" i="1"/>
  <c r="P7" i="1"/>
  <c r="P8" i="1"/>
  <c r="P9" i="1"/>
  <c r="P10" i="1"/>
  <c r="P11" i="1"/>
  <c r="P2" i="1"/>
  <c r="S1" i="1" a="1"/>
  <c r="O2" i="1" s="1"/>
  <c r="S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<sst xmlns="http://schemas.openxmlformats.org/spreadsheetml/2006/main" count="63" uniqueCount="40">
  <si>
    <t>NAME</t>
  </si>
  <si>
    <t>CLASS</t>
  </si>
  <si>
    <t>LV</t>
  </si>
  <si>
    <t>HP</t>
  </si>
  <si>
    <t>STR</t>
  </si>
  <si>
    <t>MAG</t>
  </si>
  <si>
    <t>SKILL</t>
  </si>
  <si>
    <t>SPD</t>
  </si>
  <si>
    <t>LUCK</t>
  </si>
  <si>
    <t>DEF</t>
  </si>
  <si>
    <t>RES</t>
  </si>
  <si>
    <t>MOV</t>
  </si>
  <si>
    <t>ITEM &amp; SKILL</t>
  </si>
  <si>
    <t>Bandit</t>
  </si>
  <si>
    <t>Mercenary</t>
  </si>
  <si>
    <t>Lance Fighter</t>
  </si>
  <si>
    <t>Archer</t>
  </si>
  <si>
    <t>Fighter</t>
  </si>
  <si>
    <t>Mercnary</t>
  </si>
  <si>
    <t>Iron Sword (droppable)</t>
  </si>
  <si>
    <t>Iron Lance (droppable)</t>
  </si>
  <si>
    <t>Vulnerary (droppable)</t>
  </si>
  <si>
    <t>Brigand</t>
  </si>
  <si>
    <t>Hard</t>
  </si>
  <si>
    <t>modify</t>
  </si>
  <si>
    <t>Steel Sword (mighty +3)</t>
  </si>
  <si>
    <t>Skill: Axebreaker 1, Vantage+</t>
  </si>
  <si>
    <t>Steel Lance (mighty +3)</t>
  </si>
  <si>
    <t>Skill: Seal Speed 1, Vantage+</t>
  </si>
  <si>
    <t>Steel Bow (mighty +3)</t>
  </si>
  <si>
    <t>Skill: Prescience 1, Vantage+</t>
  </si>
  <si>
    <t>Steel Axe (mighty +3)</t>
  </si>
  <si>
    <t>Skill: Zeal 1, Vantage+</t>
  </si>
  <si>
    <t>Steel Sword</t>
  </si>
  <si>
    <t>Steel Lance</t>
  </si>
  <si>
    <t>Steel Bow</t>
  </si>
  <si>
    <t>Steel Axe</t>
  </si>
  <si>
    <t>Skill: Light and Death 1, Vantage+</t>
  </si>
  <si>
    <t>Nid</t>
  </si>
  <si>
    <t>Set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</si>
</sst>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5414-02B0-4CEF-B4A4-1E3158EA1D48}">
  <dimension ref="A1:AE25"/>
  <sheetViews>
    <sheetView tabSelected="1" zoomScale="70" zoomScaleNormal="70" workbookViewId="0">
      <selection activeCell="Q5" sqref="Q5"/>
    </sheetView>
  </sheetViews>
  <sheetFormatPr defaultRowHeight="14.4" x14ac:dyDescent="0.3"/>
  <cols>
    <col min="13" max="13" width="19.109375" bestFit="1" customWidth="1"/>
    <col min="14" max="14" width="8.88671875" style="9"/>
    <col min="15" max="15" width="69" style="9" bestFit="1" customWidth="1"/>
    <col min="16" max="16" width="64.33203125" style="9" bestFit="1" customWidth="1"/>
    <col min="17" max="17" width="57.21875" style="9" bestFit="1" customWidth="1"/>
    <col min="18" max="18" width="8.88671875" style="9"/>
    <col min="19" max="19" width="6.109375" style="9" bestFit="1" customWidth="1"/>
    <col min="20" max="20" width="11.77734375" style="9" bestFit="1" customWidth="1"/>
    <col min="21" max="21" width="3" style="9" bestFit="1" customWidth="1"/>
    <col min="22" max="22" width="3.44140625" style="9" bestFit="1" customWidth="1"/>
    <col min="23" max="23" width="4" style="9" bestFit="1" customWidth="1"/>
    <col min="24" max="24" width="4.88671875" style="9" bestFit="1" customWidth="1"/>
    <col min="25" max="25" width="5.21875" style="9" bestFit="1" customWidth="1"/>
    <col min="26" max="26" width="4.33203125" style="9" bestFit="1" customWidth="1"/>
    <col min="27" max="27" width="5.33203125" style="9" bestFit="1" customWidth="1"/>
    <col min="28" max="28" width="4.21875" style="9" bestFit="1" customWidth="1"/>
    <col min="29" max="29" width="4.109375" style="9" bestFit="1" customWidth="1"/>
    <col min="30" max="30" width="4.88671875" style="9" bestFit="1" customWidth="1"/>
    <col min="31" max="31" width="19.5546875" style="9" bestFit="1" customWidth="1"/>
  </cols>
  <sheetData>
    <row r="1" spans="1:3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38</v>
      </c>
      <c r="O1" s="8" t="s">
        <v>39</v>
      </c>
      <c r="P1" s="8" t="s">
        <v>24</v>
      </c>
      <c r="S1" s="9" t="str" cm="1">
        <f t="array" ref="S1:AE12">_xlfn._xlws.FILTER(A1:M25, A1:A25&lt;&gt;"")</f>
        <v>NAME</v>
      </c>
      <c r="T1" s="9" t="str">
        <v>CLASS</v>
      </c>
      <c r="U1" s="9" t="str">
        <v>LV</v>
      </c>
      <c r="V1" s="9" t="str">
        <v>HP</v>
      </c>
      <c r="W1" s="9" t="str">
        <v>STR</v>
      </c>
      <c r="X1" s="9" t="str">
        <v>MAG</v>
      </c>
      <c r="Y1" s="9" t="str">
        <v>SKILL</v>
      </c>
      <c r="Z1" s="9" t="str">
        <v>SPD</v>
      </c>
      <c r="AA1" s="9" t="str">
        <v>LUCK</v>
      </c>
      <c r="AB1" s="9" t="str">
        <v>DEF</v>
      </c>
      <c r="AC1" s="9" t="str">
        <v>RES</v>
      </c>
      <c r="AD1" s="9" t="str">
        <v>MOV</v>
      </c>
      <c r="AE1" s="9" t="str">
        <v>ITEM &amp; SKILL</v>
      </c>
    </row>
    <row r="2" spans="1:31" ht="55.2" customHeight="1" x14ac:dyDescent="0.3">
      <c r="A2" s="5" t="s">
        <v>13</v>
      </c>
      <c r="B2" s="5" t="s">
        <v>14</v>
      </c>
      <c r="C2" s="5">
        <v>4</v>
      </c>
      <c r="D2" s="5">
        <v>24</v>
      </c>
      <c r="E2" s="5">
        <v>6</v>
      </c>
      <c r="F2" s="5">
        <v>0</v>
      </c>
      <c r="G2" s="5">
        <v>11</v>
      </c>
      <c r="H2" s="5">
        <v>9</v>
      </c>
      <c r="I2" s="5">
        <v>0</v>
      </c>
      <c r="J2" s="5">
        <v>6</v>
      </c>
      <c r="K2" s="5">
        <v>0</v>
      </c>
      <c r="L2" s="5">
        <v>7</v>
      </c>
      <c r="M2" s="2" t="s">
        <v>25</v>
      </c>
      <c r="N2" s="9" t="s">
        <v>23</v>
      </c>
      <c r="O2" s="9" t="str">
        <f>"set_stats;" &amp; $N$2 &amp; "_" &amp; (ROW(A1)-1) &amp; ";HP," &amp; V2 &amp; ",STR," &amp; W2 &amp; ",MAG," &amp; X2 &amp; ",SKL," &amp; Y2 &amp; ",SPD," &amp; Z2 &amp; ",LCK," &amp; AA2 &amp; ",DEF," &amp; AB2 &amp; ",RES," &amp; AC2 &amp; ";immediate"</f>
        <v>set_stats;Hard_0;HP,24,STR,6,MAG,0,SKL,11,SPD,9,LCK,0,DEF,6,RES,0;immediate</v>
      </c>
      <c r="P2" s="9" t="str">
        <f>IFERROR("modify_item_component;" &amp; $N$2 &amp; "_" &amp; (ROW(A1)-1) &amp; ";" &amp; SUBSTITUTE(TRIM(LEFT(AE2, FIND("(", AE2)-1)), " ", "_") &amp; ";" &amp; IF(ISNUMBER(SEARCH("mighty", AE2)), "damage", IF(ISNUMBER(SEARCH("mt", AE2)), "damage", IF(ISNUMBER(SEARCH("hit", AE2)), "hit", IF(ISNUMBER(SEARCH("crit", AE2)), "crit", IF(ISNUMBER(SEARCH("weight", AE2)), "weight", IF(ISNUMBER(SEARCH("wt", AE2)), "weight", "")))))) &amp; ";" &amp; TRIM(SUBSTITUTE(SUBSTITUTE(SUBSTITUTE(SUBSTITUTE(SUBSTITUTE(SUBSTITUTE(SUBSTITUTE(LOWER(MID(AE2, FIND("(", AE2) + 1, FIND(")", AE2) - FIND("(", AE2) - 1)), "mighty", ""), "mt", ""), "hit", ""), "crit", ""), "weight", ""), "wt", ""), "+", "")) &amp; ";additive", "")</f>
        <v>modify_item_component;Hard_0;Steel_Sword;damage;3;additive</v>
      </c>
      <c r="Q2" s="9" t="str">
        <f>IF(P2&lt;&gt;"", "change_item_name;" &amp; $N$2 &amp; "_" &amp; (ROW(A1)-1) &amp; ";" &amp; SUBSTITUTE(TRIM(LEFT(AE2&amp;"(", FIND("(", AE2&amp;"(")-1)), " ", "_") &amp; ";&lt;moreblue&gt;" &amp; TRIM(LEFT(AE2&amp;"(", FIND("(", AE2&amp;"(")-1)), "")</f>
        <v>change_item_name;Hard_0;Steel_Sword;&lt;moreblue&gt;Steel Sword</v>
      </c>
      <c r="S2" s="9" t="str">
        <v>Bandit</v>
      </c>
      <c r="T2" s="9" t="str">
        <v>Mercenary</v>
      </c>
      <c r="U2" s="9">
        <v>4</v>
      </c>
      <c r="V2" s="9">
        <v>24</v>
      </c>
      <c r="W2" s="9">
        <v>6</v>
      </c>
      <c r="X2" s="9">
        <v>0</v>
      </c>
      <c r="Y2" s="9">
        <v>11</v>
      </c>
      <c r="Z2" s="9">
        <v>9</v>
      </c>
      <c r="AA2" s="9">
        <v>0</v>
      </c>
      <c r="AB2" s="9">
        <v>6</v>
      </c>
      <c r="AC2" s="9">
        <v>0</v>
      </c>
      <c r="AD2" s="9">
        <v>7</v>
      </c>
      <c r="AE2" s="9" t="str">
        <v>Steel Sword (mighty +3)</v>
      </c>
    </row>
    <row r="3" spans="1:31" ht="28.2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 t="s">
        <v>26</v>
      </c>
      <c r="P3" s="9" t="str">
        <f t="shared" ref="P3:P11" si="0">IFERROR("modify_item_component;" &amp; $N$2 &amp; "_" &amp; (ROW(A2)-1) &amp; ";" &amp; SUBSTITUTE(TRIM(LEFT(AE3, FIND("(", AE3)-1)), " ", "_") &amp; ";" &amp; IF(ISNUMBER(SEARCH("mighty", AE3)), "damage", IF(ISNUMBER(SEARCH("mt", AE3)), "damage", IF(ISNUMBER(SEARCH("hit", AE3)), "hit", IF(ISNUMBER(SEARCH("crit", AE3)), "crit", IF(ISNUMBER(SEARCH("weight", AE3)), "weight", IF(ISNUMBER(SEARCH("wt", AE3)), "weight", "")))))) &amp; ";" &amp; TRIM(SUBSTITUTE(SUBSTITUTE(SUBSTITUTE(SUBSTITUTE(SUBSTITUTE(SUBSTITUTE(SUBSTITUTE(LOWER(MID(AE3, FIND("(", AE3) + 1, FIND(")", AE3) - FIND("(", AE3) - 1)), "mighty", ""), "mt", ""), "hit", ""), "crit", ""), "weight", ""), "wt", ""), "+", "")) &amp; ";additive", "")</f>
        <v>modify_item_component;Hard_1;Steel_Lance;damage;3;additive</v>
      </c>
      <c r="Q3" s="9" t="str">
        <f t="shared" ref="Q3:Q12" si="1">IF(P3&lt;&gt;"", "change_item_name;" &amp; $N$2 &amp; "_" &amp; (ROW(A2)-1) &amp; ";" &amp; SUBSTITUTE(TRIM(LEFT(AE3&amp;"(", FIND("(", AE3&amp;"(")-1)), " ", "_") &amp; ";&lt;moreblue&gt;" &amp; TRIM(LEFT(AE3&amp;"(", FIND("(", AE3&amp;"(")-1)), "")</f>
        <v>change_item_name;Hard_1;Steel_Lance;&lt;moreblue&gt;Steel Lance</v>
      </c>
      <c r="S3" s="9" t="str">
        <v>Bandit</v>
      </c>
      <c r="T3" s="9" t="str">
        <v>Lance Fighter</v>
      </c>
      <c r="U3" s="9">
        <v>4</v>
      </c>
      <c r="V3" s="9">
        <v>20</v>
      </c>
      <c r="W3" s="9">
        <v>8</v>
      </c>
      <c r="X3" s="9">
        <v>2</v>
      </c>
      <c r="Y3" s="9">
        <v>8</v>
      </c>
      <c r="Z3" s="9">
        <v>9</v>
      </c>
      <c r="AA3" s="9">
        <v>1</v>
      </c>
      <c r="AB3" s="9">
        <v>8</v>
      </c>
      <c r="AC3" s="9">
        <v>4</v>
      </c>
      <c r="AD3" s="9">
        <v>5</v>
      </c>
      <c r="AE3" s="9" t="str">
        <v>Steel Lance (mighty +3)</v>
      </c>
    </row>
    <row r="4" spans="1:31" ht="41.4" customHeight="1" x14ac:dyDescent="0.3">
      <c r="A4" s="5" t="s">
        <v>13</v>
      </c>
      <c r="B4" s="5" t="s">
        <v>15</v>
      </c>
      <c r="C4" s="5">
        <v>4</v>
      </c>
      <c r="D4" s="5">
        <v>20</v>
      </c>
      <c r="E4" s="5">
        <v>8</v>
      </c>
      <c r="F4" s="5">
        <v>2</v>
      </c>
      <c r="G4" s="5">
        <v>8</v>
      </c>
      <c r="H4" s="5">
        <v>9</v>
      </c>
      <c r="I4" s="5">
        <v>1</v>
      </c>
      <c r="J4" s="5">
        <v>8</v>
      </c>
      <c r="K4" s="5">
        <v>4</v>
      </c>
      <c r="L4" s="5">
        <v>5</v>
      </c>
      <c r="M4" s="2" t="s">
        <v>27</v>
      </c>
      <c r="P4" s="9" t="str">
        <f t="shared" si="0"/>
        <v>modify_item_component;Hard_2;Steel_Bow;damage;3;additive</v>
      </c>
      <c r="Q4" s="9" t="str">
        <f t="shared" si="1"/>
        <v>change_item_name;Hard_2;Steel_Bow;&lt;moreblue&gt;Steel Bow</v>
      </c>
      <c r="S4" s="9" t="str">
        <v>Bandit</v>
      </c>
      <c r="T4" s="9" t="str">
        <v>Archer</v>
      </c>
      <c r="U4" s="9">
        <v>4</v>
      </c>
      <c r="V4" s="9">
        <v>19</v>
      </c>
      <c r="W4" s="9">
        <v>8</v>
      </c>
      <c r="X4" s="9">
        <v>0</v>
      </c>
      <c r="Y4" s="9">
        <v>6</v>
      </c>
      <c r="Z4" s="9">
        <v>6</v>
      </c>
      <c r="AA4" s="9">
        <v>2</v>
      </c>
      <c r="AB4" s="9">
        <v>6</v>
      </c>
      <c r="AC4" s="9">
        <v>4</v>
      </c>
      <c r="AD4" s="9">
        <v>5</v>
      </c>
      <c r="AE4" s="9" t="str">
        <v>Steel Bow (mighty +3)</v>
      </c>
    </row>
    <row r="5" spans="1:31" ht="28.2" thickBot="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3" t="s">
        <v>28</v>
      </c>
      <c r="P5" s="9" t="str">
        <f t="shared" si="0"/>
        <v>modify_item_component;Hard_3;Steel_Axe;damage;3;additive</v>
      </c>
      <c r="Q5" s="9" t="str">
        <f t="shared" si="1"/>
        <v>change_item_name;Hard_3;Steel_Axe;&lt;moreblue&gt;Steel Axe</v>
      </c>
      <c r="S5" s="9" t="str">
        <v>Bandit</v>
      </c>
      <c r="T5" s="9" t="str">
        <v>Fighter</v>
      </c>
      <c r="U5" s="9">
        <v>4</v>
      </c>
      <c r="V5" s="9">
        <v>28</v>
      </c>
      <c r="W5" s="9">
        <v>9</v>
      </c>
      <c r="X5" s="9">
        <v>0</v>
      </c>
      <c r="Y5" s="9">
        <v>8</v>
      </c>
      <c r="Z5" s="9">
        <v>8</v>
      </c>
      <c r="AA5" s="9">
        <v>5</v>
      </c>
      <c r="AB5" s="9">
        <v>7</v>
      </c>
      <c r="AC5" s="9">
        <v>3</v>
      </c>
      <c r="AD5" s="9">
        <v>5</v>
      </c>
      <c r="AE5" s="9" t="str">
        <v>Steel Axe (mighty +3)</v>
      </c>
    </row>
    <row r="6" spans="1:31" ht="41.4" customHeight="1" x14ac:dyDescent="0.3">
      <c r="A6" s="5" t="s">
        <v>13</v>
      </c>
      <c r="B6" s="5" t="s">
        <v>16</v>
      </c>
      <c r="C6" s="5">
        <v>4</v>
      </c>
      <c r="D6" s="5">
        <v>19</v>
      </c>
      <c r="E6" s="5">
        <v>8</v>
      </c>
      <c r="F6" s="5">
        <v>0</v>
      </c>
      <c r="G6" s="5">
        <v>6</v>
      </c>
      <c r="H6" s="5">
        <v>6</v>
      </c>
      <c r="I6" s="5">
        <v>2</v>
      </c>
      <c r="J6" s="5">
        <v>6</v>
      </c>
      <c r="K6" s="5">
        <v>4</v>
      </c>
      <c r="L6" s="5">
        <v>5</v>
      </c>
      <c r="M6" s="2" t="s">
        <v>29</v>
      </c>
      <c r="P6" s="9" t="str">
        <f t="shared" si="0"/>
        <v/>
      </c>
      <c r="Q6" s="9" t="str">
        <f t="shared" si="1"/>
        <v/>
      </c>
      <c r="S6" s="9" t="str">
        <v>Bandit</v>
      </c>
      <c r="T6" s="9" t="str">
        <v>Mercnary</v>
      </c>
      <c r="U6" s="9">
        <v>3</v>
      </c>
      <c r="V6" s="9">
        <v>22</v>
      </c>
      <c r="W6" s="9">
        <v>6</v>
      </c>
      <c r="X6" s="9">
        <v>1</v>
      </c>
      <c r="Y6" s="9">
        <v>8</v>
      </c>
      <c r="Z6" s="9">
        <v>8</v>
      </c>
      <c r="AA6" s="9">
        <v>0</v>
      </c>
      <c r="AB6" s="9">
        <v>6</v>
      </c>
      <c r="AC6" s="9">
        <v>1</v>
      </c>
      <c r="AD6" s="9">
        <v>7</v>
      </c>
      <c r="AE6" s="9" t="str">
        <v>Steel Sword</v>
      </c>
    </row>
    <row r="7" spans="1:31" ht="28.2" thickBo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3" t="s">
        <v>30</v>
      </c>
      <c r="P7" s="9" t="str">
        <f t="shared" si="0"/>
        <v/>
      </c>
      <c r="Q7" s="9" t="str">
        <f t="shared" si="1"/>
        <v/>
      </c>
      <c r="S7" s="9" t="str">
        <v>Bandit</v>
      </c>
      <c r="T7" s="9" t="str">
        <v>Lance Fighter</v>
      </c>
      <c r="U7" s="9">
        <v>3</v>
      </c>
      <c r="V7" s="9">
        <v>19</v>
      </c>
      <c r="W7" s="9">
        <v>6</v>
      </c>
      <c r="X7" s="9">
        <v>0</v>
      </c>
      <c r="Y7" s="9">
        <v>8</v>
      </c>
      <c r="Z7" s="9">
        <v>8</v>
      </c>
      <c r="AA7" s="9">
        <v>2</v>
      </c>
      <c r="AB7" s="9">
        <v>6</v>
      </c>
      <c r="AC7" s="9">
        <v>4</v>
      </c>
      <c r="AD7" s="9">
        <v>5</v>
      </c>
      <c r="AE7" s="9" t="str">
        <v>Steel Lance</v>
      </c>
    </row>
    <row r="8" spans="1:31" ht="41.4" customHeight="1" x14ac:dyDescent="0.3">
      <c r="A8" s="5" t="s">
        <v>13</v>
      </c>
      <c r="B8" s="5" t="s">
        <v>17</v>
      </c>
      <c r="C8" s="5">
        <v>4</v>
      </c>
      <c r="D8" s="5">
        <v>28</v>
      </c>
      <c r="E8" s="5">
        <v>9</v>
      </c>
      <c r="F8" s="5">
        <v>0</v>
      </c>
      <c r="G8" s="5">
        <v>8</v>
      </c>
      <c r="H8" s="5">
        <v>8</v>
      </c>
      <c r="I8" s="5">
        <v>5</v>
      </c>
      <c r="J8" s="5">
        <v>7</v>
      </c>
      <c r="K8" s="5">
        <v>3</v>
      </c>
      <c r="L8" s="5">
        <v>5</v>
      </c>
      <c r="M8" s="2" t="s">
        <v>31</v>
      </c>
      <c r="P8" s="9" t="str">
        <f t="shared" si="0"/>
        <v/>
      </c>
      <c r="Q8" s="9" t="str">
        <f t="shared" si="1"/>
        <v/>
      </c>
      <c r="S8" s="9" t="str">
        <v>Bandit</v>
      </c>
      <c r="T8" s="9" t="str">
        <v>Archer</v>
      </c>
      <c r="U8" s="9">
        <v>3</v>
      </c>
      <c r="V8" s="9">
        <v>18</v>
      </c>
      <c r="W8" s="9">
        <v>9</v>
      </c>
      <c r="X8" s="9">
        <v>0</v>
      </c>
      <c r="Y8" s="9">
        <v>3</v>
      </c>
      <c r="Z8" s="9">
        <v>5</v>
      </c>
      <c r="AA8" s="9">
        <v>1</v>
      </c>
      <c r="AB8" s="9">
        <v>4</v>
      </c>
      <c r="AC8" s="9">
        <v>3</v>
      </c>
      <c r="AD8" s="9">
        <v>5</v>
      </c>
      <c r="AE8" s="9" t="str">
        <v>Steel Bow</v>
      </c>
    </row>
    <row r="9" spans="1:31" ht="15" thickBo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3" t="s">
        <v>32</v>
      </c>
      <c r="P9" s="9" t="str">
        <f t="shared" si="0"/>
        <v/>
      </c>
      <c r="Q9" s="9" t="str">
        <f t="shared" si="1"/>
        <v/>
      </c>
      <c r="S9" s="9" t="str">
        <v>Bandit</v>
      </c>
      <c r="T9" s="9" t="str">
        <v>Fighter</v>
      </c>
      <c r="U9" s="9">
        <v>3</v>
      </c>
      <c r="V9" s="9">
        <v>26</v>
      </c>
      <c r="W9" s="9">
        <v>9</v>
      </c>
      <c r="X9" s="9">
        <v>0</v>
      </c>
      <c r="Y9" s="9">
        <v>8</v>
      </c>
      <c r="Z9" s="9">
        <v>7</v>
      </c>
      <c r="AA9" s="9">
        <v>4</v>
      </c>
      <c r="AB9" s="9">
        <v>6</v>
      </c>
      <c r="AC9" s="9">
        <v>3</v>
      </c>
      <c r="AD9" s="9">
        <v>5</v>
      </c>
      <c r="AE9" s="9" t="str">
        <v>Steel Axe</v>
      </c>
    </row>
    <row r="10" spans="1:31" ht="55.2" customHeight="1" x14ac:dyDescent="0.3">
      <c r="A10" s="5" t="s">
        <v>13</v>
      </c>
      <c r="B10" s="5" t="s">
        <v>18</v>
      </c>
      <c r="C10" s="5">
        <v>3</v>
      </c>
      <c r="D10" s="5">
        <v>22</v>
      </c>
      <c r="E10" s="5">
        <v>6</v>
      </c>
      <c r="F10" s="5">
        <v>1</v>
      </c>
      <c r="G10" s="5">
        <v>8</v>
      </c>
      <c r="H10" s="5">
        <v>8</v>
      </c>
      <c r="I10" s="5">
        <v>0</v>
      </c>
      <c r="J10" s="5">
        <v>6</v>
      </c>
      <c r="K10" s="5">
        <v>1</v>
      </c>
      <c r="L10" s="5">
        <v>7</v>
      </c>
      <c r="M10" s="2" t="s">
        <v>33</v>
      </c>
      <c r="P10" s="9" t="str">
        <f t="shared" si="0"/>
        <v/>
      </c>
      <c r="Q10" s="9" t="str">
        <f t="shared" si="1"/>
        <v/>
      </c>
      <c r="S10" s="9" t="str">
        <v>Bandit</v>
      </c>
      <c r="T10" s="9" t="str">
        <v>Brigand</v>
      </c>
      <c r="U10" s="9">
        <v>3</v>
      </c>
      <c r="V10" s="9">
        <v>29</v>
      </c>
      <c r="W10" s="9">
        <v>10</v>
      </c>
      <c r="X10" s="9">
        <v>2</v>
      </c>
      <c r="Y10" s="9">
        <v>8</v>
      </c>
      <c r="Z10" s="9">
        <v>10</v>
      </c>
      <c r="AA10" s="9">
        <v>2</v>
      </c>
      <c r="AB10" s="9">
        <v>7</v>
      </c>
      <c r="AC10" s="9">
        <v>1</v>
      </c>
      <c r="AD10" s="9">
        <v>5</v>
      </c>
      <c r="AE10" s="9" t="str">
        <v>Steel Axe</v>
      </c>
    </row>
    <row r="11" spans="1:3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4" t="s">
        <v>19</v>
      </c>
      <c r="P11" s="9" t="str">
        <f t="shared" si="0"/>
        <v/>
      </c>
      <c r="Q11" s="9" t="str">
        <f t="shared" si="1"/>
        <v/>
      </c>
      <c r="S11" s="9" t="str">
        <v>Bandit</v>
      </c>
      <c r="T11" s="9" t="str">
        <v>Brigand</v>
      </c>
      <c r="U11" s="9">
        <v>3</v>
      </c>
      <c r="V11" s="9">
        <v>29</v>
      </c>
      <c r="W11" s="9">
        <v>11</v>
      </c>
      <c r="X11" s="9">
        <v>1</v>
      </c>
      <c r="Y11" s="9">
        <v>8</v>
      </c>
      <c r="Z11" s="9">
        <v>10</v>
      </c>
      <c r="AA11" s="9">
        <v>2</v>
      </c>
      <c r="AB11" s="9">
        <v>7</v>
      </c>
      <c r="AC11" s="9">
        <v>1</v>
      </c>
      <c r="AD11" s="9">
        <v>5</v>
      </c>
      <c r="AE11" s="9" t="str">
        <v>Steel Axe</v>
      </c>
    </row>
    <row r="12" spans="1:31" ht="41.4" customHeight="1" thickBo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3" t="s">
        <v>26</v>
      </c>
      <c r="P12" s="9" t="str">
        <f>IFERROR("modify_item_component;" &amp; $N$2 &amp; "_" &amp; (ROW(A11)-1) &amp; ";" &amp; SUBSTITUTE(TRIM(LEFT(AE12, FIND("(", AE12)-1)), " ", "_") &amp; ";" &amp; IF(ISNUMBER(SEARCH("mighty", AE12)), "damage", IF(ISNUMBER(SEARCH("mt", AE12)), "damage", IF(ISNUMBER(SEARCH("hit", AE12)), "hit", IF(ISNUMBER(SEARCH("crit", AE12)), "crit", IF(ISNUMBER(SEARCH("weight", AE12)), "weight", IF(ISNUMBER(SEARCH("wt", AE12)), "weight", "")))))) &amp; ";" &amp; TRIM(SUBSTITUTE(SUBSTITUTE(SUBSTITUTE(SUBSTITUTE(SUBSTITUTE(SUBSTITUTE(SUBSTITUTE(LOWER(MID(AE12, FIND("(", AE12) + 1, FIND(")", AE12) - FIND("(", AE12) - 1)), "mighty", ""), "mt", ""), "hit", ""), "crit", ""), "weight", ""), "wt", ""), "+", "")) &amp; ";additive", "")</f>
        <v/>
      </c>
      <c r="Q12" s="9" t="str">
        <f t="shared" si="1"/>
        <v/>
      </c>
      <c r="S12" s="9" t="str">
        <v>Bandit</v>
      </c>
      <c r="T12" s="9" t="str">
        <v>Brigand</v>
      </c>
      <c r="U12" s="9">
        <v>3</v>
      </c>
      <c r="V12" s="9">
        <v>29</v>
      </c>
      <c r="W12" s="9">
        <v>11</v>
      </c>
      <c r="X12" s="9">
        <v>0</v>
      </c>
      <c r="Y12" s="9">
        <v>8</v>
      </c>
      <c r="Z12" s="9">
        <v>10</v>
      </c>
      <c r="AA12" s="9">
        <v>2</v>
      </c>
      <c r="AB12" s="9">
        <v>7</v>
      </c>
      <c r="AC12" s="9">
        <v>2</v>
      </c>
      <c r="AD12" s="9">
        <v>5</v>
      </c>
      <c r="AE12" s="9" t="str">
        <v>Steel Axe</v>
      </c>
    </row>
    <row r="13" spans="1:31" ht="14.4" customHeight="1" x14ac:dyDescent="0.3">
      <c r="A13" s="5" t="s">
        <v>13</v>
      </c>
      <c r="B13" s="5" t="s">
        <v>15</v>
      </c>
      <c r="C13" s="5">
        <v>3</v>
      </c>
      <c r="D13" s="5">
        <v>19</v>
      </c>
      <c r="E13" s="5">
        <v>6</v>
      </c>
      <c r="F13" s="5">
        <v>0</v>
      </c>
      <c r="G13" s="5">
        <v>8</v>
      </c>
      <c r="H13" s="5">
        <v>8</v>
      </c>
      <c r="I13" s="5">
        <v>2</v>
      </c>
      <c r="J13" s="5">
        <v>6</v>
      </c>
      <c r="K13" s="5">
        <v>4</v>
      </c>
      <c r="L13" s="5">
        <v>5</v>
      </c>
      <c r="M13" s="2" t="s">
        <v>34</v>
      </c>
    </row>
    <row r="14" spans="1:3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4" t="s">
        <v>20</v>
      </c>
    </row>
    <row r="15" spans="1:31" ht="41.4" customHeight="1" thickBo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3" t="s">
        <v>28</v>
      </c>
    </row>
    <row r="16" spans="1:31" x14ac:dyDescent="0.3">
      <c r="A16" s="5" t="s">
        <v>13</v>
      </c>
      <c r="B16" s="5" t="s">
        <v>16</v>
      </c>
      <c r="C16" s="5">
        <v>3</v>
      </c>
      <c r="D16" s="5">
        <v>18</v>
      </c>
      <c r="E16" s="5">
        <v>9</v>
      </c>
      <c r="F16" s="5">
        <v>0</v>
      </c>
      <c r="G16" s="5">
        <v>3</v>
      </c>
      <c r="H16" s="5">
        <v>5</v>
      </c>
      <c r="I16" s="5">
        <v>1</v>
      </c>
      <c r="J16" s="5">
        <v>4</v>
      </c>
      <c r="K16" s="5">
        <v>3</v>
      </c>
      <c r="L16" s="5">
        <v>5</v>
      </c>
      <c r="M16" s="2" t="s">
        <v>35</v>
      </c>
    </row>
    <row r="17" spans="1:13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4" t="s">
        <v>21</v>
      </c>
    </row>
    <row r="18" spans="1:13" ht="28.2" thickBo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3" t="s">
        <v>30</v>
      </c>
    </row>
    <row r="19" spans="1:13" x14ac:dyDescent="0.3">
      <c r="A19" s="5" t="s">
        <v>13</v>
      </c>
      <c r="B19" s="5" t="s">
        <v>17</v>
      </c>
      <c r="C19" s="5">
        <v>3</v>
      </c>
      <c r="D19" s="5">
        <v>26</v>
      </c>
      <c r="E19" s="5">
        <v>9</v>
      </c>
      <c r="F19" s="5">
        <v>0</v>
      </c>
      <c r="G19" s="5">
        <v>8</v>
      </c>
      <c r="H19" s="5">
        <v>7</v>
      </c>
      <c r="I19" s="5">
        <v>4</v>
      </c>
      <c r="J19" s="5">
        <v>6</v>
      </c>
      <c r="K19" s="5">
        <v>3</v>
      </c>
      <c r="L19" s="5">
        <v>5</v>
      </c>
      <c r="M19" s="2" t="s">
        <v>36</v>
      </c>
    </row>
    <row r="20" spans="1:13" ht="15" thickBo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3" t="s">
        <v>32</v>
      </c>
    </row>
    <row r="21" spans="1:13" x14ac:dyDescent="0.3">
      <c r="A21" s="5" t="s">
        <v>13</v>
      </c>
      <c r="B21" s="5" t="s">
        <v>22</v>
      </c>
      <c r="C21" s="5">
        <v>3</v>
      </c>
      <c r="D21" s="5">
        <v>29</v>
      </c>
      <c r="E21" s="5">
        <v>10</v>
      </c>
      <c r="F21" s="5">
        <v>2</v>
      </c>
      <c r="G21" s="5">
        <v>8</v>
      </c>
      <c r="H21" s="5">
        <v>10</v>
      </c>
      <c r="I21" s="5">
        <v>2</v>
      </c>
      <c r="J21" s="5">
        <v>7</v>
      </c>
      <c r="K21" s="5">
        <v>1</v>
      </c>
      <c r="L21" s="5">
        <v>5</v>
      </c>
      <c r="M21" s="2" t="s">
        <v>36</v>
      </c>
    </row>
    <row r="22" spans="1:13" ht="28.2" thickBo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3" t="s">
        <v>37</v>
      </c>
    </row>
    <row r="23" spans="1:13" x14ac:dyDescent="0.3">
      <c r="A23" s="5" t="s">
        <v>13</v>
      </c>
      <c r="B23" s="5" t="s">
        <v>22</v>
      </c>
      <c r="C23" s="5">
        <v>3</v>
      </c>
      <c r="D23" s="5">
        <v>29</v>
      </c>
      <c r="E23" s="5">
        <v>11</v>
      </c>
      <c r="F23" s="5">
        <v>1</v>
      </c>
      <c r="G23" s="5">
        <v>8</v>
      </c>
      <c r="H23" s="5">
        <v>10</v>
      </c>
      <c r="I23" s="5">
        <v>2</v>
      </c>
      <c r="J23" s="5">
        <v>7</v>
      </c>
      <c r="K23" s="5">
        <v>1</v>
      </c>
      <c r="L23" s="5">
        <v>5</v>
      </c>
      <c r="M23" s="2" t="s">
        <v>36</v>
      </c>
    </row>
    <row r="24" spans="1:13" ht="28.2" thickBo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3" t="s">
        <v>37</v>
      </c>
    </row>
    <row r="25" spans="1:13" ht="15" thickBot="1" x14ac:dyDescent="0.35">
      <c r="A25" s="1" t="s">
        <v>13</v>
      </c>
      <c r="B25" s="1" t="s">
        <v>22</v>
      </c>
      <c r="C25" s="1">
        <v>3</v>
      </c>
      <c r="D25" s="1">
        <v>29</v>
      </c>
      <c r="E25" s="1">
        <v>11</v>
      </c>
      <c r="F25" s="1">
        <v>0</v>
      </c>
      <c r="G25" s="1">
        <v>8</v>
      </c>
      <c r="H25" s="1">
        <v>10</v>
      </c>
      <c r="I25" s="1">
        <v>2</v>
      </c>
      <c r="J25" s="1">
        <v>7</v>
      </c>
      <c r="K25" s="1">
        <v>2</v>
      </c>
      <c r="L25" s="1">
        <v>5</v>
      </c>
      <c r="M25" s="1" t="s">
        <v>36</v>
      </c>
    </row>
  </sheetData>
  <mergeCells count="120"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E16:E18"/>
    <mergeCell ref="F16:F18"/>
    <mergeCell ref="G16:G18"/>
    <mergeCell ref="H16:H18"/>
    <mergeCell ref="I16:I18"/>
    <mergeCell ref="J16:J18"/>
    <mergeCell ref="E13:E15"/>
    <mergeCell ref="F13:F15"/>
    <mergeCell ref="G13:G15"/>
    <mergeCell ref="H13:H15"/>
    <mergeCell ref="I13:I15"/>
    <mergeCell ref="J13:J15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K16:K18"/>
    <mergeCell ref="L16:L18"/>
    <mergeCell ref="A16:A18"/>
    <mergeCell ref="B16:B18"/>
    <mergeCell ref="C16:C18"/>
    <mergeCell ref="D16:D18"/>
    <mergeCell ref="K13:K15"/>
    <mergeCell ref="L13:L15"/>
    <mergeCell ref="A13:A15"/>
    <mergeCell ref="B13:B15"/>
    <mergeCell ref="C13:C15"/>
    <mergeCell ref="D13:D15"/>
    <mergeCell ref="G10:G12"/>
    <mergeCell ref="H10:H12"/>
    <mergeCell ref="I10:I12"/>
    <mergeCell ref="J10:J12"/>
    <mergeCell ref="A10:A12"/>
    <mergeCell ref="B10:B12"/>
    <mergeCell ref="C10:C12"/>
    <mergeCell ref="D10:D12"/>
    <mergeCell ref="K10:K12"/>
    <mergeCell ref="L10:L12"/>
    <mergeCell ref="E10:E12"/>
    <mergeCell ref="F10:F12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6:G7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Binh</dc:creator>
  <cp:lastModifiedBy>Lam Binh</cp:lastModifiedBy>
  <dcterms:created xsi:type="dcterms:W3CDTF">2026-05-26T14:02:27Z</dcterms:created>
  <dcterms:modified xsi:type="dcterms:W3CDTF">2026-05-26T14:46:35Z</dcterms:modified>
</cp:coreProperties>
</file>