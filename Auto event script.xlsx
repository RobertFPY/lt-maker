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E\lt-maker\"/>
    </mc:Choice>
  </mc:AlternateContent>
  <xr:revisionPtr revIDLastSave="0" documentId="13_ncr:1_{7199364F-8700-4E42-870E-3B2F99813A1B}" xr6:coauthVersionLast="47" xr6:coauthVersionMax="47" xr10:uidLastSave="{00000000-0000-0000-0000-000000000000}"/>
  <bookViews>
    <workbookView xWindow="-108" yWindow="-108" windowWidth="23256" windowHeight="12576" xr2:uid="{8E0F047B-701A-4951-B23D-E04F5C53C7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S1" i="1" l="1" a="1"/>
  <c r="S1" i="1" s="1"/>
  <c r="P17" i="1"/>
  <c r="Q17" i="1" s="1"/>
  <c r="P18" i="1"/>
  <c r="Q18" i="1" s="1"/>
  <c r="P19" i="1"/>
  <c r="P20" i="1"/>
  <c r="P21" i="1"/>
  <c r="P22" i="1"/>
  <c r="P23" i="1"/>
  <c r="P24" i="1"/>
  <c r="P25" i="1"/>
  <c r="Q25" i="1" s="1"/>
  <c r="P26" i="1"/>
  <c r="Q26" i="1" s="1"/>
  <c r="P27" i="1"/>
  <c r="Q27" i="1" s="1"/>
  <c r="P28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Q19" i="1"/>
  <c r="Q20" i="1"/>
  <c r="Q21" i="1"/>
  <c r="Q22" i="1"/>
  <c r="Q23" i="1"/>
  <c r="Q24" i="1"/>
  <c r="Q28" i="1"/>
  <c r="P29" i="1"/>
  <c r="Q29" i="1" s="1"/>
  <c r="P3" i="1" l="1"/>
  <c r="Q3" i="1" s="1"/>
  <c r="P11" i="1"/>
  <c r="Q11" i="1" s="1"/>
  <c r="O9" i="1"/>
  <c r="O16" i="1"/>
  <c r="P4" i="1"/>
  <c r="Q4" i="1" s="1"/>
  <c r="P12" i="1"/>
  <c r="Q12" i="1" s="1"/>
  <c r="O10" i="1"/>
  <c r="O7" i="1"/>
  <c r="P10" i="1"/>
  <c r="Q10" i="1" s="1"/>
  <c r="O8" i="1"/>
  <c r="P5" i="1"/>
  <c r="Q5" i="1" s="1"/>
  <c r="P13" i="1"/>
  <c r="Q13" i="1" s="1"/>
  <c r="O3" i="1"/>
  <c r="O11" i="1"/>
  <c r="O14" i="1"/>
  <c r="P6" i="1"/>
  <c r="Q6" i="1" s="1"/>
  <c r="P14" i="1"/>
  <c r="Q14" i="1" s="1"/>
  <c r="O4" i="1"/>
  <c r="O12" i="1"/>
  <c r="P2" i="1"/>
  <c r="Q2" i="1" s="1"/>
  <c r="P9" i="1"/>
  <c r="Q9" i="1" s="1"/>
  <c r="O6" i="1"/>
  <c r="P16" i="1"/>
  <c r="Q16" i="1" s="1"/>
  <c r="P8" i="1"/>
  <c r="Q8" i="1" s="1"/>
  <c r="O15" i="1"/>
  <c r="O2" i="1"/>
  <c r="O13" i="1"/>
  <c r="O5" i="1"/>
  <c r="P15" i="1"/>
  <c r="Q15" i="1" s="1"/>
  <c r="P7" i="1"/>
  <c r="Q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<sst xmlns="http://schemas.openxmlformats.org/spreadsheetml/2006/main" count="87" uniqueCount="40">
  <si>
    <t>NAME</t>
  </si>
  <si>
    <t>CLASS</t>
  </si>
  <si>
    <t>LV</t>
  </si>
  <si>
    <t>HP</t>
  </si>
  <si>
    <t>STR</t>
  </si>
  <si>
    <t>MAG</t>
  </si>
  <si>
    <t>SKILL</t>
  </si>
  <si>
    <t>SPD</t>
  </si>
  <si>
    <t>LUCK</t>
  </si>
  <si>
    <t>DEF</t>
  </si>
  <si>
    <t>RES</t>
  </si>
  <si>
    <t>MOV</t>
  </si>
  <si>
    <t>ITEM &amp; SKILL</t>
  </si>
  <si>
    <t>Bandit</t>
  </si>
  <si>
    <t>Mercenary</t>
  </si>
  <si>
    <t>Lance Fighter</t>
  </si>
  <si>
    <t>Archer</t>
  </si>
  <si>
    <t>Fighter</t>
  </si>
  <si>
    <t>Mercnary</t>
  </si>
  <si>
    <t>Iron Sword (droppable)</t>
  </si>
  <si>
    <t>Iron Lance (droppable)</t>
  </si>
  <si>
    <t>Vulnerary (droppable)</t>
  </si>
  <si>
    <t>Brigand</t>
  </si>
  <si>
    <t>modify</t>
  </si>
  <si>
    <t>Steel Sword (mighty +3)</t>
  </si>
  <si>
    <t>Skill: Axebreaker 1, Vantage+</t>
  </si>
  <si>
    <t>Steel Lance (mighty +3)</t>
  </si>
  <si>
    <t>Skill: Seal Speed 1, Vantage+</t>
  </si>
  <si>
    <t>Steel Bow (mighty +3)</t>
  </si>
  <si>
    <t>Skill: Prescience 1, Vantage+</t>
  </si>
  <si>
    <t>Steel Axe (mighty +3)</t>
  </si>
  <si>
    <t>Skill: Zeal 1, Vantage+</t>
  </si>
  <si>
    <t>Steel Sword</t>
  </si>
  <si>
    <t>Steel Lance</t>
  </si>
  <si>
    <t>Steel Bow</t>
  </si>
  <si>
    <t>Steel Axe</t>
  </si>
  <si>
    <t>Skill: Light and Death 1, Vantage+</t>
  </si>
  <si>
    <t>Nid</t>
  </si>
  <si>
    <t>Set stat</t>
  </si>
  <si>
    <t>Nightmare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</si>
</sst>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5414-02B0-4CEF-B4A4-1E3158EA1D48}">
  <dimension ref="A1:AE35"/>
  <sheetViews>
    <sheetView tabSelected="1" topLeftCell="N2" zoomScale="70" zoomScaleNormal="70" workbookViewId="0">
      <selection activeCell="Q2" sqref="Q2:Q5"/>
    </sheetView>
  </sheetViews>
  <sheetFormatPr defaultRowHeight="14.4" x14ac:dyDescent="0.3"/>
  <cols>
    <col min="13" max="13" width="19.109375" bestFit="1" customWidth="1"/>
    <col min="14" max="14" width="8.88671875" style="9"/>
    <col min="15" max="15" width="69" style="9" bestFit="1" customWidth="1"/>
    <col min="16" max="16" width="64.33203125" style="9" bestFit="1" customWidth="1"/>
    <col min="17" max="17" width="57.21875" style="9" bestFit="1" customWidth="1"/>
    <col min="18" max="18" width="8.88671875" style="9"/>
    <col min="19" max="19" width="6.109375" style="9" bestFit="1" customWidth="1"/>
    <col min="20" max="20" width="11.77734375" style="9" bestFit="1" customWidth="1"/>
    <col min="21" max="21" width="3" style="9" bestFit="1" customWidth="1"/>
    <col min="22" max="22" width="3.44140625" style="9" bestFit="1" customWidth="1"/>
    <col min="23" max="23" width="4" style="9" bestFit="1" customWidth="1"/>
    <col min="24" max="24" width="4.88671875" style="9" bestFit="1" customWidth="1"/>
    <col min="25" max="25" width="5.21875" style="9" bestFit="1" customWidth="1"/>
    <col min="26" max="26" width="4.33203125" style="9" bestFit="1" customWidth="1"/>
    <col min="27" max="27" width="5.33203125" style="9" bestFit="1" customWidth="1"/>
    <col min="28" max="28" width="4.21875" style="9" bestFit="1" customWidth="1"/>
    <col min="29" max="29" width="4.109375" style="9" bestFit="1" customWidth="1"/>
    <col min="30" max="30" width="4.88671875" style="9" bestFit="1" customWidth="1"/>
    <col min="31" max="31" width="19.5546875" style="9" bestFit="1" customWidth="1"/>
  </cols>
  <sheetData>
    <row r="1" spans="1:31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8" t="s">
        <v>37</v>
      </c>
      <c r="O1" s="8" t="s">
        <v>38</v>
      </c>
      <c r="P1" s="8" t="s">
        <v>23</v>
      </c>
      <c r="S1" s="9" t="str" cm="1">
        <f t="array" ref="S1:AE19">_xlfn._xlws.FILTER(A1:M35, A1:A35&lt;&gt;"")</f>
        <v>NAME</v>
      </c>
      <c r="T1" s="9" t="str">
        <v>CLASS</v>
      </c>
      <c r="U1" s="9" t="str">
        <v>LV</v>
      </c>
      <c r="V1" s="9" t="str">
        <v>HP</v>
      </c>
      <c r="W1" s="9" t="str">
        <v>STR</v>
      </c>
      <c r="X1" s="9" t="str">
        <v>MAG</v>
      </c>
      <c r="Y1" s="9" t="str">
        <v>SKILL</v>
      </c>
      <c r="Z1" s="9" t="str">
        <v>SPD</v>
      </c>
      <c r="AA1" s="9" t="str">
        <v>LUCK</v>
      </c>
      <c r="AB1" s="9" t="str">
        <v>DEF</v>
      </c>
      <c r="AC1" s="9" t="str">
        <v>RES</v>
      </c>
      <c r="AD1" s="9" t="str">
        <v>MOV</v>
      </c>
      <c r="AE1" s="9" t="str">
        <v>ITEM &amp; SKILL</v>
      </c>
    </row>
    <row r="2" spans="1:31" ht="55.2" customHeight="1" x14ac:dyDescent="0.3">
      <c r="A2" s="5" t="s">
        <v>13</v>
      </c>
      <c r="B2" s="5" t="s">
        <v>14</v>
      </c>
      <c r="C2" s="5">
        <v>4</v>
      </c>
      <c r="D2" s="5">
        <v>24</v>
      </c>
      <c r="E2" s="5">
        <v>6</v>
      </c>
      <c r="F2" s="5">
        <v>0</v>
      </c>
      <c r="G2" s="5">
        <v>11</v>
      </c>
      <c r="H2" s="5">
        <v>9</v>
      </c>
      <c r="I2" s="5">
        <v>0</v>
      </c>
      <c r="J2" s="5">
        <v>6</v>
      </c>
      <c r="K2" s="5">
        <v>0</v>
      </c>
      <c r="L2" s="5">
        <v>7</v>
      </c>
      <c r="M2" s="2" t="s">
        <v>24</v>
      </c>
      <c r="N2" s="9" t="s">
        <v>39</v>
      </c>
      <c r="O2" s="9" t="str">
        <f>"    set_stats;" &amp; $N$2 &amp; "_" &amp; (ROW(A1)-1) &amp; ";HP," &amp; V2 &amp; ",STR," &amp; W2 &amp; ",MAG," &amp; X2 &amp; ",SKL," &amp; Y2 &amp; ",SPD," &amp; Z2 &amp; ",LCK," &amp; AA2 &amp; ",DEF," &amp; AB2 &amp; ",RES," &amp; AC2 &amp; ";immediate"</f>
        <v xml:space="preserve">    set_stats;Nightmare_0;HP,24,STR,6,MAG,0,SKL,11,SPD,9,LCK,0,DEF,6,RES,0;immediate</v>
      </c>
      <c r="P2" s="9" t="str">
        <f>IFERROR("    modify_item_component;" &amp; $N$2 &amp; "_" &amp; (ROW(A1)-1) &amp; ";" &amp; SUBSTITUTE(TRIM(LEFT(AE2, FIND("(", AE2)-1)), " ", "_") &amp; ";" &amp; IF(ISNUMBER(SEARCH("mighty", AE2)), "damage", IF(ISNUMBER(SEARCH("mt", AE2)), "damage", IF(ISNUMBER(SEARCH("hit", AE2)), "hit", IF(ISNUMBER(SEARCH("crit", AE2)), "crit", IF(ISNUMBER(SEARCH("weight", AE2)), "weight", IF(ISNUMBER(SEARCH("wt", AE2)), "weight", "")))))) &amp; ";" &amp; TRIM(SUBSTITUTE(SUBSTITUTE(SUBSTITUTE(SUBSTITUTE(SUBSTITUTE(SUBSTITUTE(SUBSTITUTE(LOWER(MID(AE2, FIND("(", AE2) + 1, FIND(")", AE2) - FIND("(", AE2) - 1)), "mighty", ""), "mt", ""), "hit", ""), "crit", ""), "weight", ""), "wt", ""), "+", "")) &amp; ";additive", "")</f>
        <v xml:space="preserve">    modify_item_component;Nightmare_0;Steel_Sword;damage;3;additive</v>
      </c>
      <c r="Q2" s="9" t="str">
        <f>IF(P2&lt;&gt;"", "    change_item_name;" &amp; $N$2 &amp; "_" &amp; (ROW(A1)-1) &amp; ";" &amp; SUBSTITUTE(TRIM(LEFT(AE2&amp;"(", FIND("(", AE2&amp;"(")-1)), " ", "_") &amp; ";&lt;moreblue&gt;" &amp; TRIM(LEFT(AE2&amp;"(", FIND("(", AE2&amp;"(")-1)), "")</f>
        <v xml:space="preserve">    change_item_name;Nightmare_0;Steel_Sword;&lt;moreblue&gt;Steel Sword</v>
      </c>
      <c r="S2" s="9" t="str">
        <v>Bandit</v>
      </c>
      <c r="T2" s="9" t="str">
        <v>Mercenary</v>
      </c>
      <c r="U2" s="9">
        <v>4</v>
      </c>
      <c r="V2" s="9">
        <v>24</v>
      </c>
      <c r="W2" s="9">
        <v>6</v>
      </c>
      <c r="X2" s="9">
        <v>0</v>
      </c>
      <c r="Y2" s="9">
        <v>11</v>
      </c>
      <c r="Z2" s="9">
        <v>9</v>
      </c>
      <c r="AA2" s="9">
        <v>0</v>
      </c>
      <c r="AB2" s="9">
        <v>6</v>
      </c>
      <c r="AC2" s="9">
        <v>0</v>
      </c>
      <c r="AD2" s="9">
        <v>7</v>
      </c>
      <c r="AE2" s="9" t="str">
        <v>Steel Sword (mighty +3)</v>
      </c>
    </row>
    <row r="3" spans="1:31" ht="28.2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3" t="s">
        <v>25</v>
      </c>
      <c r="O3" s="9" t="str">
        <f t="shared" ref="O3:O29" si="0">"    set_stats;" &amp; $N$2 &amp; "_" &amp; (ROW(A2)-1) &amp; ";HP," &amp; V3 &amp; ",STR," &amp; W3 &amp; ",MAG," &amp; X3 &amp; ",SKL," &amp; Y3 &amp; ",SPD," &amp; Z3 &amp; ",LCK," &amp; AA3 &amp; ",DEF," &amp; AB3 &amp; ",RES," &amp; AC3 &amp; ";immediate"</f>
        <v xml:space="preserve">    set_stats;Nightmare_1;HP,20,STR,8,MAG,2,SKL,8,SPD,9,LCK,1,DEF,8,RES,4;immediate</v>
      </c>
      <c r="P3" s="9" t="str">
        <f t="shared" ref="P3:P28" si="1">IFERROR("    modify_item_component;" &amp; $N$2 &amp; "_" &amp; (ROW(A2)-1) &amp; ";" &amp; SUBSTITUTE(TRIM(LEFT(AE3, FIND("(", AE3)-1)), " ", "_") &amp; ";" &amp; IF(ISNUMBER(SEARCH("mighty", AE3)), "damage", IF(ISNUMBER(SEARCH("mt", AE3)), "damage", IF(ISNUMBER(SEARCH("hit", AE3)), "hit", IF(ISNUMBER(SEARCH("crit", AE3)), "crit", IF(ISNUMBER(SEARCH("weight", AE3)), "weight", IF(ISNUMBER(SEARCH("wt", AE3)), "weight", "")))))) &amp; ";" &amp; TRIM(SUBSTITUTE(SUBSTITUTE(SUBSTITUTE(SUBSTITUTE(SUBSTITUTE(SUBSTITUTE(SUBSTITUTE(LOWER(MID(AE3, FIND("(", AE3) + 1, FIND(")", AE3) - FIND("(", AE3) - 1)), "mighty", ""), "mt", ""), "hit", ""), "crit", ""), "weight", ""), "wt", ""), "+", "")) &amp; ";additive", "")</f>
        <v xml:space="preserve">    modify_item_component;Nightmare_1;Steel_Lance;damage;3;additive</v>
      </c>
      <c r="Q3" s="9" t="str">
        <f t="shared" ref="Q3:Q16" si="2">IF(P3&lt;&gt;"", "    change_item_name;" &amp; $N$2 &amp; "_" &amp; (ROW(A2)-1) &amp; ";" &amp; SUBSTITUTE(TRIM(LEFT(AE3&amp;"(", FIND("(", AE3&amp;"(")-1)), " ", "_") &amp; ";&lt;moreblue&gt;" &amp; TRIM(LEFT(AE3&amp;"(", FIND("(", AE3&amp;"(")-1)), "")</f>
        <v xml:space="preserve">    change_item_name;Nightmare_1;Steel_Lance;&lt;moreblue&gt;Steel Lance</v>
      </c>
      <c r="S3" s="9" t="str">
        <v>Bandit</v>
      </c>
      <c r="T3" s="9" t="str">
        <v>Lance Fighter</v>
      </c>
      <c r="U3" s="9">
        <v>4</v>
      </c>
      <c r="V3" s="9">
        <v>20</v>
      </c>
      <c r="W3" s="9">
        <v>8</v>
      </c>
      <c r="X3" s="9">
        <v>2</v>
      </c>
      <c r="Y3" s="9">
        <v>8</v>
      </c>
      <c r="Z3" s="9">
        <v>9</v>
      </c>
      <c r="AA3" s="9">
        <v>1</v>
      </c>
      <c r="AB3" s="9">
        <v>8</v>
      </c>
      <c r="AC3" s="9">
        <v>4</v>
      </c>
      <c r="AD3" s="9">
        <v>5</v>
      </c>
      <c r="AE3" s="9" t="str">
        <v>Steel Lance (mighty +3)</v>
      </c>
    </row>
    <row r="4" spans="1:31" ht="41.4" customHeight="1" x14ac:dyDescent="0.3">
      <c r="A4" s="5" t="s">
        <v>13</v>
      </c>
      <c r="B4" s="5" t="s">
        <v>15</v>
      </c>
      <c r="C4" s="5">
        <v>4</v>
      </c>
      <c r="D4" s="5">
        <v>20</v>
      </c>
      <c r="E4" s="5">
        <v>8</v>
      </c>
      <c r="F4" s="5">
        <v>2</v>
      </c>
      <c r="G4" s="5">
        <v>8</v>
      </c>
      <c r="H4" s="5">
        <v>9</v>
      </c>
      <c r="I4" s="5">
        <v>1</v>
      </c>
      <c r="J4" s="5">
        <v>8</v>
      </c>
      <c r="K4" s="5">
        <v>4</v>
      </c>
      <c r="L4" s="5">
        <v>5</v>
      </c>
      <c r="M4" s="2" t="s">
        <v>26</v>
      </c>
      <c r="O4" s="9" t="str">
        <f t="shared" si="0"/>
        <v xml:space="preserve">    set_stats;Nightmare_2;HP,19,STR,8,MAG,0,SKL,6,SPD,6,LCK,2,DEF,6,RES,4;immediate</v>
      </c>
      <c r="P4" s="9" t="str">
        <f t="shared" si="1"/>
        <v xml:space="preserve">    modify_item_component;Nightmare_2;Steel_Bow;damage;3;additive</v>
      </c>
      <c r="Q4" s="9" t="str">
        <f t="shared" si="2"/>
        <v xml:space="preserve">    change_item_name;Nightmare_2;Steel_Bow;&lt;moreblue&gt;Steel Bow</v>
      </c>
      <c r="S4" s="9" t="str">
        <v>Bandit</v>
      </c>
      <c r="T4" s="9" t="str">
        <v>Archer</v>
      </c>
      <c r="U4" s="9">
        <v>4</v>
      </c>
      <c r="V4" s="9">
        <v>19</v>
      </c>
      <c r="W4" s="9">
        <v>8</v>
      </c>
      <c r="X4" s="9">
        <v>0</v>
      </c>
      <c r="Y4" s="9">
        <v>6</v>
      </c>
      <c r="Z4" s="9">
        <v>6</v>
      </c>
      <c r="AA4" s="9">
        <v>2</v>
      </c>
      <c r="AB4" s="9">
        <v>6</v>
      </c>
      <c r="AC4" s="9">
        <v>4</v>
      </c>
      <c r="AD4" s="9">
        <v>5</v>
      </c>
      <c r="AE4" s="9" t="str">
        <v>Steel Bow (mighty +3)</v>
      </c>
    </row>
    <row r="5" spans="1:31" ht="28.2" thickBo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3" t="s">
        <v>27</v>
      </c>
      <c r="O5" s="9" t="str">
        <f t="shared" si="0"/>
        <v xml:space="preserve">    set_stats;Nightmare_3;HP,28,STR,9,MAG,0,SKL,8,SPD,8,LCK,5,DEF,7,RES,3;immediate</v>
      </c>
      <c r="P5" s="9" t="str">
        <f t="shared" si="1"/>
        <v xml:space="preserve">    modify_item_component;Nightmare_3;Steel_Axe;damage;3;additive</v>
      </c>
      <c r="Q5" s="9" t="str">
        <f t="shared" si="2"/>
        <v xml:space="preserve">    change_item_name;Nightmare_3;Steel_Axe;&lt;moreblue&gt;Steel Axe</v>
      </c>
      <c r="S5" s="9" t="str">
        <v>Bandit</v>
      </c>
      <c r="T5" s="9" t="str">
        <v>Fighter</v>
      </c>
      <c r="U5" s="9">
        <v>4</v>
      </c>
      <c r="V5" s="9">
        <v>28</v>
      </c>
      <c r="W5" s="9">
        <v>9</v>
      </c>
      <c r="X5" s="9">
        <v>0</v>
      </c>
      <c r="Y5" s="9">
        <v>8</v>
      </c>
      <c r="Z5" s="9">
        <v>8</v>
      </c>
      <c r="AA5" s="9">
        <v>5</v>
      </c>
      <c r="AB5" s="9">
        <v>7</v>
      </c>
      <c r="AC5" s="9">
        <v>3</v>
      </c>
      <c r="AD5" s="9">
        <v>5</v>
      </c>
      <c r="AE5" s="9" t="str">
        <v>Steel Axe (mighty +3)</v>
      </c>
    </row>
    <row r="6" spans="1:31" ht="41.4" customHeight="1" x14ac:dyDescent="0.3">
      <c r="A6" s="5" t="s">
        <v>13</v>
      </c>
      <c r="B6" s="5" t="s">
        <v>16</v>
      </c>
      <c r="C6" s="5">
        <v>4</v>
      </c>
      <c r="D6" s="5">
        <v>19</v>
      </c>
      <c r="E6" s="5">
        <v>8</v>
      </c>
      <c r="F6" s="5">
        <v>0</v>
      </c>
      <c r="G6" s="5">
        <v>6</v>
      </c>
      <c r="H6" s="5">
        <v>6</v>
      </c>
      <c r="I6" s="5">
        <v>2</v>
      </c>
      <c r="J6" s="5">
        <v>6</v>
      </c>
      <c r="K6" s="5">
        <v>4</v>
      </c>
      <c r="L6" s="5">
        <v>5</v>
      </c>
      <c r="M6" s="2" t="s">
        <v>28</v>
      </c>
      <c r="O6" s="9" t="str">
        <f t="shared" si="0"/>
        <v xml:space="preserve">    set_stats;Nightmare_4;HP,22,STR,6,MAG,1,SKL,8,SPD,8,LCK,0,DEF,6,RES,1;immediate</v>
      </c>
      <c r="P6" s="9" t="str">
        <f t="shared" si="1"/>
        <v/>
      </c>
      <c r="Q6" s="9" t="str">
        <f t="shared" si="2"/>
        <v/>
      </c>
      <c r="S6" s="9" t="str">
        <v>Bandit</v>
      </c>
      <c r="T6" s="9" t="str">
        <v>Mercnary</v>
      </c>
      <c r="U6" s="9">
        <v>3</v>
      </c>
      <c r="V6" s="9">
        <v>22</v>
      </c>
      <c r="W6" s="9">
        <v>6</v>
      </c>
      <c r="X6" s="9">
        <v>1</v>
      </c>
      <c r="Y6" s="9">
        <v>8</v>
      </c>
      <c r="Z6" s="9">
        <v>8</v>
      </c>
      <c r="AA6" s="9">
        <v>0</v>
      </c>
      <c r="AB6" s="9">
        <v>6</v>
      </c>
      <c r="AC6" s="9">
        <v>1</v>
      </c>
      <c r="AD6" s="9">
        <v>7</v>
      </c>
      <c r="AE6" s="9" t="str">
        <v>Steel Sword</v>
      </c>
    </row>
    <row r="7" spans="1:31" ht="28.2" thickBo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3" t="s">
        <v>29</v>
      </c>
      <c r="O7" s="9" t="str">
        <f t="shared" si="0"/>
        <v xml:space="preserve">    set_stats;Nightmare_5;HP,19,STR,6,MAG,0,SKL,8,SPD,8,LCK,2,DEF,6,RES,4;immediate</v>
      </c>
      <c r="P7" s="9" t="str">
        <f t="shared" si="1"/>
        <v/>
      </c>
      <c r="Q7" s="9" t="str">
        <f t="shared" si="2"/>
        <v/>
      </c>
      <c r="S7" s="9" t="str">
        <v>Bandit</v>
      </c>
      <c r="T7" s="9" t="str">
        <v>Lance Fighter</v>
      </c>
      <c r="U7" s="9">
        <v>3</v>
      </c>
      <c r="V7" s="9">
        <v>19</v>
      </c>
      <c r="W7" s="9">
        <v>6</v>
      </c>
      <c r="X7" s="9">
        <v>0</v>
      </c>
      <c r="Y7" s="9">
        <v>8</v>
      </c>
      <c r="Z7" s="9">
        <v>8</v>
      </c>
      <c r="AA7" s="9">
        <v>2</v>
      </c>
      <c r="AB7" s="9">
        <v>6</v>
      </c>
      <c r="AC7" s="9">
        <v>4</v>
      </c>
      <c r="AD7" s="9">
        <v>5</v>
      </c>
      <c r="AE7" s="9" t="str">
        <v>Steel Lance</v>
      </c>
    </row>
    <row r="8" spans="1:31" ht="41.4" customHeight="1" x14ac:dyDescent="0.3">
      <c r="A8" s="5" t="s">
        <v>13</v>
      </c>
      <c r="B8" s="5" t="s">
        <v>17</v>
      </c>
      <c r="C8" s="5">
        <v>4</v>
      </c>
      <c r="D8" s="5">
        <v>28</v>
      </c>
      <c r="E8" s="5">
        <v>9</v>
      </c>
      <c r="F8" s="5">
        <v>0</v>
      </c>
      <c r="G8" s="5">
        <v>8</v>
      </c>
      <c r="H8" s="5">
        <v>8</v>
      </c>
      <c r="I8" s="5">
        <v>5</v>
      </c>
      <c r="J8" s="5">
        <v>7</v>
      </c>
      <c r="K8" s="5">
        <v>3</v>
      </c>
      <c r="L8" s="5">
        <v>5</v>
      </c>
      <c r="M8" s="2" t="s">
        <v>30</v>
      </c>
      <c r="O8" s="9" t="str">
        <f t="shared" si="0"/>
        <v xml:space="preserve">    set_stats;Nightmare_6;HP,18,STR,9,MAG,0,SKL,3,SPD,5,LCK,1,DEF,4,RES,3;immediate</v>
      </c>
      <c r="P8" s="9" t="str">
        <f t="shared" si="1"/>
        <v/>
      </c>
      <c r="Q8" s="9" t="str">
        <f t="shared" si="2"/>
        <v/>
      </c>
      <c r="S8" s="9" t="str">
        <v>Bandit</v>
      </c>
      <c r="T8" s="9" t="str">
        <v>Archer</v>
      </c>
      <c r="U8" s="9">
        <v>3</v>
      </c>
      <c r="V8" s="9">
        <v>18</v>
      </c>
      <c r="W8" s="9">
        <v>9</v>
      </c>
      <c r="X8" s="9">
        <v>0</v>
      </c>
      <c r="Y8" s="9">
        <v>3</v>
      </c>
      <c r="Z8" s="9">
        <v>5</v>
      </c>
      <c r="AA8" s="9">
        <v>1</v>
      </c>
      <c r="AB8" s="9">
        <v>4</v>
      </c>
      <c r="AC8" s="9">
        <v>3</v>
      </c>
      <c r="AD8" s="9">
        <v>5</v>
      </c>
      <c r="AE8" s="9" t="str">
        <v>Steel Bow</v>
      </c>
    </row>
    <row r="9" spans="1:31" ht="15" thickBot="1" x14ac:dyDescent="0.3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3" t="s">
        <v>31</v>
      </c>
      <c r="O9" s="9" t="str">
        <f t="shared" si="0"/>
        <v xml:space="preserve">    set_stats;Nightmare_7;HP,26,STR,9,MAG,0,SKL,8,SPD,7,LCK,4,DEF,6,RES,3;immediate</v>
      </c>
      <c r="P9" s="9" t="str">
        <f t="shared" si="1"/>
        <v/>
      </c>
      <c r="Q9" s="9" t="str">
        <f t="shared" si="2"/>
        <v/>
      </c>
      <c r="S9" s="9" t="str">
        <v>Bandit</v>
      </c>
      <c r="T9" s="9" t="str">
        <v>Fighter</v>
      </c>
      <c r="U9" s="9">
        <v>3</v>
      </c>
      <c r="V9" s="9">
        <v>26</v>
      </c>
      <c r="W9" s="9">
        <v>9</v>
      </c>
      <c r="X9" s="9">
        <v>0</v>
      </c>
      <c r="Y9" s="9">
        <v>8</v>
      </c>
      <c r="Z9" s="9">
        <v>7</v>
      </c>
      <c r="AA9" s="9">
        <v>4</v>
      </c>
      <c r="AB9" s="9">
        <v>6</v>
      </c>
      <c r="AC9" s="9">
        <v>3</v>
      </c>
      <c r="AD9" s="9">
        <v>5</v>
      </c>
      <c r="AE9" s="9" t="str">
        <v>Steel Axe</v>
      </c>
    </row>
    <row r="10" spans="1:31" ht="55.2" customHeight="1" x14ac:dyDescent="0.3">
      <c r="A10" s="5" t="s">
        <v>13</v>
      </c>
      <c r="B10" s="5" t="s">
        <v>18</v>
      </c>
      <c r="C10" s="5">
        <v>3</v>
      </c>
      <c r="D10" s="5">
        <v>22</v>
      </c>
      <c r="E10" s="5">
        <v>6</v>
      </c>
      <c r="F10" s="5">
        <v>1</v>
      </c>
      <c r="G10" s="5">
        <v>8</v>
      </c>
      <c r="H10" s="5">
        <v>8</v>
      </c>
      <c r="I10" s="5">
        <v>0</v>
      </c>
      <c r="J10" s="5">
        <v>6</v>
      </c>
      <c r="K10" s="5">
        <v>1</v>
      </c>
      <c r="L10" s="5">
        <v>7</v>
      </c>
      <c r="M10" s="2" t="s">
        <v>32</v>
      </c>
      <c r="O10" s="9" t="str">
        <f t="shared" si="0"/>
        <v xml:space="preserve">    set_stats;Nightmare_8;HP,29,STR,10,MAG,2,SKL,8,SPD,10,LCK,2,DEF,7,RES,1;immediate</v>
      </c>
      <c r="P10" s="9" t="str">
        <f t="shared" si="1"/>
        <v/>
      </c>
      <c r="Q10" s="9" t="str">
        <f t="shared" si="2"/>
        <v/>
      </c>
      <c r="S10" s="9" t="str">
        <v>Bandit</v>
      </c>
      <c r="T10" s="9" t="str">
        <v>Brigand</v>
      </c>
      <c r="U10" s="9">
        <v>3</v>
      </c>
      <c r="V10" s="9">
        <v>29</v>
      </c>
      <c r="W10" s="9">
        <v>10</v>
      </c>
      <c r="X10" s="9">
        <v>2</v>
      </c>
      <c r="Y10" s="9">
        <v>8</v>
      </c>
      <c r="Z10" s="9">
        <v>10</v>
      </c>
      <c r="AA10" s="9">
        <v>2</v>
      </c>
      <c r="AB10" s="9">
        <v>7</v>
      </c>
      <c r="AC10" s="9">
        <v>1</v>
      </c>
      <c r="AD10" s="9">
        <v>5</v>
      </c>
      <c r="AE10" s="9" t="str">
        <v>Steel Axe</v>
      </c>
    </row>
    <row r="11" spans="1:31" ht="14.4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4" t="s">
        <v>19</v>
      </c>
      <c r="O11" s="9" t="str">
        <f t="shared" si="0"/>
        <v xml:space="preserve">    set_stats;Nightmare_9;HP,29,STR,11,MAG,1,SKL,8,SPD,10,LCK,2,DEF,7,RES,1;immediate</v>
      </c>
      <c r="P11" s="9" t="str">
        <f t="shared" si="1"/>
        <v/>
      </c>
      <c r="Q11" s="9" t="str">
        <f t="shared" si="2"/>
        <v/>
      </c>
      <c r="S11" s="9" t="str">
        <v>Bandit</v>
      </c>
      <c r="T11" s="9" t="str">
        <v>Brigand</v>
      </c>
      <c r="U11" s="9">
        <v>3</v>
      </c>
      <c r="V11" s="9">
        <v>29</v>
      </c>
      <c r="W11" s="9">
        <v>11</v>
      </c>
      <c r="X11" s="9">
        <v>1</v>
      </c>
      <c r="Y11" s="9">
        <v>8</v>
      </c>
      <c r="Z11" s="9">
        <v>10</v>
      </c>
      <c r="AA11" s="9">
        <v>2</v>
      </c>
      <c r="AB11" s="9">
        <v>7</v>
      </c>
      <c r="AC11" s="9">
        <v>1</v>
      </c>
      <c r="AD11" s="9">
        <v>5</v>
      </c>
      <c r="AE11" s="9" t="str">
        <v>Steel Axe</v>
      </c>
    </row>
    <row r="12" spans="1:31" ht="41.4" customHeight="1" thickBot="1" x14ac:dyDescent="0.3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3" t="s">
        <v>25</v>
      </c>
      <c r="O12" s="9" t="str">
        <f t="shared" si="0"/>
        <v xml:space="preserve">    set_stats;Nightmare_10;HP,29,STR,11,MAG,0,SKL,8,SPD,10,LCK,2,DEF,7,RES,2;immediate</v>
      </c>
      <c r="P12" s="9" t="str">
        <f t="shared" si="1"/>
        <v/>
      </c>
      <c r="Q12" s="9" t="str">
        <f t="shared" si="2"/>
        <v/>
      </c>
      <c r="S12" s="9" t="str">
        <v>Bandit</v>
      </c>
      <c r="T12" s="9" t="str">
        <v>Brigand</v>
      </c>
      <c r="U12" s="9">
        <v>3</v>
      </c>
      <c r="V12" s="9">
        <v>29</v>
      </c>
      <c r="W12" s="9">
        <v>11</v>
      </c>
      <c r="X12" s="9">
        <v>0</v>
      </c>
      <c r="Y12" s="9">
        <v>8</v>
      </c>
      <c r="Z12" s="9">
        <v>10</v>
      </c>
      <c r="AA12" s="9">
        <v>2</v>
      </c>
      <c r="AB12" s="9">
        <v>7</v>
      </c>
      <c r="AC12" s="9">
        <v>2</v>
      </c>
      <c r="AD12" s="9">
        <v>5</v>
      </c>
      <c r="AE12" s="9" t="str">
        <v>Steel Axe</v>
      </c>
    </row>
    <row r="13" spans="1:31" ht="14.4" customHeight="1" x14ac:dyDescent="0.3">
      <c r="A13" s="5" t="s">
        <v>13</v>
      </c>
      <c r="B13" s="5" t="s">
        <v>15</v>
      </c>
      <c r="C13" s="5">
        <v>3</v>
      </c>
      <c r="D13" s="5">
        <v>19</v>
      </c>
      <c r="E13" s="5">
        <v>6</v>
      </c>
      <c r="F13" s="5">
        <v>0</v>
      </c>
      <c r="G13" s="5">
        <v>8</v>
      </c>
      <c r="H13" s="5">
        <v>8</v>
      </c>
      <c r="I13" s="5">
        <v>2</v>
      </c>
      <c r="J13" s="5">
        <v>6</v>
      </c>
      <c r="K13" s="5">
        <v>4</v>
      </c>
      <c r="L13" s="5">
        <v>5</v>
      </c>
      <c r="M13" s="2" t="s">
        <v>33</v>
      </c>
      <c r="O13" s="9" t="str">
        <f t="shared" si="0"/>
        <v xml:space="preserve">    set_stats;Nightmare_11;HP,29,STR,11,MAG,1,SKL,8,SPD,10,LCK,2,DEF,7,RES,2;immediate</v>
      </c>
      <c r="P13" s="9" t="str">
        <f t="shared" si="1"/>
        <v/>
      </c>
      <c r="Q13" s="9" t="str">
        <f t="shared" si="2"/>
        <v/>
      </c>
      <c r="S13" s="9" t="str">
        <v>Bandit</v>
      </c>
      <c r="T13" s="9" t="str">
        <v>Brigand</v>
      </c>
      <c r="U13" s="9">
        <v>3</v>
      </c>
      <c r="V13" s="9">
        <v>29</v>
      </c>
      <c r="W13" s="9">
        <v>11</v>
      </c>
      <c r="X13" s="9">
        <v>1</v>
      </c>
      <c r="Y13" s="9">
        <v>8</v>
      </c>
      <c r="Z13" s="9">
        <v>10</v>
      </c>
      <c r="AA13" s="9">
        <v>2</v>
      </c>
      <c r="AB13" s="9">
        <v>7</v>
      </c>
      <c r="AC13" s="9">
        <v>2</v>
      </c>
      <c r="AD13" s="9">
        <v>5</v>
      </c>
      <c r="AE13" s="9" t="str">
        <v>Steel Axe</v>
      </c>
    </row>
    <row r="14" spans="1:3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4" t="s">
        <v>20</v>
      </c>
      <c r="O14" s="9" t="str">
        <f t="shared" si="0"/>
        <v xml:space="preserve">    set_stats;Nightmare_12;HP,29,STR,11,MAG,0,SKL,8,SPD,10,LCK,2,DEF,7,RES,2;immediate</v>
      </c>
      <c r="P14" s="9" t="str">
        <f t="shared" si="1"/>
        <v/>
      </c>
      <c r="Q14" s="9" t="str">
        <f t="shared" si="2"/>
        <v/>
      </c>
      <c r="S14" s="9" t="str">
        <v>Bandit</v>
      </c>
      <c r="T14" s="9" t="str">
        <v>Brigand</v>
      </c>
      <c r="U14" s="9">
        <v>3</v>
      </c>
      <c r="V14" s="9">
        <v>29</v>
      </c>
      <c r="W14" s="9">
        <v>11</v>
      </c>
      <c r="X14" s="9">
        <v>0</v>
      </c>
      <c r="Y14" s="9">
        <v>8</v>
      </c>
      <c r="Z14" s="9">
        <v>10</v>
      </c>
      <c r="AA14" s="9">
        <v>2</v>
      </c>
      <c r="AB14" s="9">
        <v>7</v>
      </c>
      <c r="AC14" s="9">
        <v>2</v>
      </c>
      <c r="AD14" s="9">
        <v>5</v>
      </c>
      <c r="AE14" s="9" t="str">
        <v>Steel Axe</v>
      </c>
    </row>
    <row r="15" spans="1:31" ht="41.4" customHeight="1" thickBot="1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3" t="s">
        <v>27</v>
      </c>
      <c r="O15" s="9" t="str">
        <f t="shared" si="0"/>
        <v xml:space="preserve">    set_stats;Nightmare_13;HP,27,STR,9,MAG,0,SKL,6,SPD,8,LCK,1,DEF,5,RES,1;immediate</v>
      </c>
      <c r="P15" s="9" t="str">
        <f t="shared" si="1"/>
        <v/>
      </c>
      <c r="Q15" s="9" t="str">
        <f t="shared" si="2"/>
        <v/>
      </c>
      <c r="S15" s="9" t="str">
        <v>Bandit</v>
      </c>
      <c r="T15" s="9" t="str">
        <v>Brigand</v>
      </c>
      <c r="U15" s="9">
        <v>2</v>
      </c>
      <c r="V15" s="9">
        <v>27</v>
      </c>
      <c r="W15" s="9">
        <v>9</v>
      </c>
      <c r="X15" s="9">
        <v>0</v>
      </c>
      <c r="Y15" s="9">
        <v>6</v>
      </c>
      <c r="Z15" s="9">
        <v>8</v>
      </c>
      <c r="AA15" s="9">
        <v>1</v>
      </c>
      <c r="AB15" s="9">
        <v>5</v>
      </c>
      <c r="AC15" s="9">
        <v>1</v>
      </c>
      <c r="AD15" s="9">
        <v>5</v>
      </c>
      <c r="AE15" s="9" t="str">
        <v>Steel Axe</v>
      </c>
    </row>
    <row r="16" spans="1:31" x14ac:dyDescent="0.3">
      <c r="A16" s="5" t="s">
        <v>13</v>
      </c>
      <c r="B16" s="5" t="s">
        <v>16</v>
      </c>
      <c r="C16" s="5">
        <v>3</v>
      </c>
      <c r="D16" s="5">
        <v>18</v>
      </c>
      <c r="E16" s="5">
        <v>9</v>
      </c>
      <c r="F16" s="5">
        <v>0</v>
      </c>
      <c r="G16" s="5">
        <v>3</v>
      </c>
      <c r="H16" s="5">
        <v>5</v>
      </c>
      <c r="I16" s="5">
        <v>1</v>
      </c>
      <c r="J16" s="5">
        <v>4</v>
      </c>
      <c r="K16" s="5">
        <v>3</v>
      </c>
      <c r="L16" s="5">
        <v>5</v>
      </c>
      <c r="M16" s="2" t="s">
        <v>34</v>
      </c>
      <c r="O16" s="9" t="str">
        <f t="shared" si="0"/>
        <v xml:space="preserve">    set_stats;Nightmare_14;HP,27,STR,10,MAG,0,SKL,6,SPD,8,LCK,1,DEF,5,RES,0;immediate</v>
      </c>
      <c r="P16" s="9" t="str">
        <f t="shared" si="1"/>
        <v/>
      </c>
      <c r="Q16" s="9" t="str">
        <f t="shared" si="2"/>
        <v/>
      </c>
      <c r="S16" s="9" t="str">
        <v>Bandit</v>
      </c>
      <c r="T16" s="9" t="str">
        <v>Brigand</v>
      </c>
      <c r="U16" s="9">
        <v>2</v>
      </c>
      <c r="V16" s="9">
        <v>27</v>
      </c>
      <c r="W16" s="9">
        <v>10</v>
      </c>
      <c r="X16" s="9">
        <v>0</v>
      </c>
      <c r="Y16" s="9">
        <v>6</v>
      </c>
      <c r="Z16" s="9">
        <v>8</v>
      </c>
      <c r="AA16" s="9">
        <v>1</v>
      </c>
      <c r="AB16" s="9">
        <v>5</v>
      </c>
      <c r="AC16" s="9">
        <v>0</v>
      </c>
      <c r="AD16" s="9">
        <v>5</v>
      </c>
      <c r="AE16" s="9" t="str">
        <v>Steel Axe</v>
      </c>
    </row>
    <row r="17" spans="1:3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4" t="s">
        <v>21</v>
      </c>
      <c r="O17" s="9" t="str">
        <f t="shared" si="0"/>
        <v xml:space="preserve">    set_stats;Nightmare_15;HP,27,STR,10,MAG,1,SKL,6,SPD,8,LCK,1,DEF,5,RES,1;immediate</v>
      </c>
      <c r="P17" s="9" t="str">
        <f t="shared" si="1"/>
        <v/>
      </c>
      <c r="Q17" s="9" t="str">
        <f t="shared" ref="Q3:Q29" si="3">IF(P17&lt;&gt;"", "change_item_name;" &amp; $N$2 &amp; "_" &amp; (ROW(A16)-1) &amp; ";" &amp; SUBSTITUTE(TRIM(LEFT(AE17&amp;"(", FIND("(", AE17&amp;"(")-1)), " ", "_") &amp; ";&lt;moreblue&gt;" &amp; TRIM(LEFT(AE17&amp;"(", FIND("(", AE17&amp;"(")-1)), "")</f>
        <v/>
      </c>
      <c r="S17" s="9" t="str">
        <v>Bandit</v>
      </c>
      <c r="T17" s="9" t="str">
        <v>Brigand</v>
      </c>
      <c r="U17" s="9">
        <v>2</v>
      </c>
      <c r="V17" s="9">
        <v>27</v>
      </c>
      <c r="W17" s="9">
        <v>10</v>
      </c>
      <c r="X17" s="9">
        <v>1</v>
      </c>
      <c r="Y17" s="9">
        <v>6</v>
      </c>
      <c r="Z17" s="9">
        <v>8</v>
      </c>
      <c r="AA17" s="9">
        <v>1</v>
      </c>
      <c r="AB17" s="9">
        <v>5</v>
      </c>
      <c r="AC17" s="9">
        <v>1</v>
      </c>
      <c r="AD17" s="9">
        <v>5</v>
      </c>
      <c r="AE17" s="9" t="str">
        <v>Steel Axe</v>
      </c>
    </row>
    <row r="18" spans="1:31" ht="28.2" thickBot="1" x14ac:dyDescent="0.3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3" t="s">
        <v>29</v>
      </c>
      <c r="O18" s="9" t="str">
        <f t="shared" si="0"/>
        <v xml:space="preserve">    set_stats;Nightmare_16;HP,27,STR,10,MAG,0,SKL,6,SPD,8,LCK,1,DEF,5,RES,1;immediate</v>
      </c>
      <c r="P18" s="9" t="str">
        <f t="shared" si="1"/>
        <v/>
      </c>
      <c r="Q18" s="9" t="str">
        <f t="shared" si="3"/>
        <v/>
      </c>
      <c r="S18" s="9" t="str">
        <v>Bandit</v>
      </c>
      <c r="T18" s="9" t="str">
        <v>Brigand</v>
      </c>
      <c r="U18" s="9">
        <v>2</v>
      </c>
      <c r="V18" s="9">
        <v>27</v>
      </c>
      <c r="W18" s="9">
        <v>10</v>
      </c>
      <c r="X18" s="9">
        <v>0</v>
      </c>
      <c r="Y18" s="9">
        <v>6</v>
      </c>
      <c r="Z18" s="9">
        <v>8</v>
      </c>
      <c r="AA18" s="9">
        <v>1</v>
      </c>
      <c r="AB18" s="9">
        <v>5</v>
      </c>
      <c r="AC18" s="9">
        <v>1</v>
      </c>
      <c r="AD18" s="9">
        <v>5</v>
      </c>
      <c r="AE18" s="9" t="str">
        <v>Steel Axe</v>
      </c>
    </row>
    <row r="19" spans="1:31" x14ac:dyDescent="0.3">
      <c r="A19" s="5" t="s">
        <v>13</v>
      </c>
      <c r="B19" s="5" t="s">
        <v>17</v>
      </c>
      <c r="C19" s="5">
        <v>3</v>
      </c>
      <c r="D19" s="5">
        <v>26</v>
      </c>
      <c r="E19" s="5">
        <v>9</v>
      </c>
      <c r="F19" s="5">
        <v>0</v>
      </c>
      <c r="G19" s="5">
        <v>8</v>
      </c>
      <c r="H19" s="5">
        <v>7</v>
      </c>
      <c r="I19" s="5">
        <v>4</v>
      </c>
      <c r="J19" s="5">
        <v>6</v>
      </c>
      <c r="K19" s="5">
        <v>3</v>
      </c>
      <c r="L19" s="5">
        <v>5</v>
      </c>
      <c r="M19" s="2" t="s">
        <v>35</v>
      </c>
      <c r="O19" s="9" t="str">
        <f t="shared" si="0"/>
        <v xml:space="preserve">    set_stats;Nightmare_17;HP,27,STR,10,MAG,0,SKL,6,SPD,8,LCK,1,DEF,5,RES,1;immediate</v>
      </c>
      <c r="P19" s="9" t="str">
        <f t="shared" si="1"/>
        <v/>
      </c>
      <c r="Q19" s="9" t="str">
        <f t="shared" si="3"/>
        <v/>
      </c>
      <c r="S19" s="9" t="str">
        <v>Bandit</v>
      </c>
      <c r="T19" s="9" t="str">
        <v>Brigand</v>
      </c>
      <c r="U19" s="9">
        <v>2</v>
      </c>
      <c r="V19" s="9">
        <v>27</v>
      </c>
      <c r="W19" s="9">
        <v>10</v>
      </c>
      <c r="X19" s="9">
        <v>0</v>
      </c>
      <c r="Y19" s="9">
        <v>6</v>
      </c>
      <c r="Z19" s="9">
        <v>8</v>
      </c>
      <c r="AA19" s="9">
        <v>1</v>
      </c>
      <c r="AB19" s="9">
        <v>5</v>
      </c>
      <c r="AC19" s="9">
        <v>1</v>
      </c>
      <c r="AD19" s="9">
        <v>5</v>
      </c>
      <c r="AE19" s="9" t="str">
        <v>Steel Axe</v>
      </c>
    </row>
    <row r="20" spans="1:31" ht="15" thickBot="1" x14ac:dyDescent="0.3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3" t="s">
        <v>31</v>
      </c>
      <c r="O20" s="9" t="str">
        <f t="shared" si="0"/>
        <v xml:space="preserve">    set_stats;Nightmare_18;HP,,STR,,MAG,,SKL,,SPD,,LCK,,DEF,,RES,;immediate</v>
      </c>
      <c r="P20" s="9" t="str">
        <f t="shared" si="1"/>
        <v/>
      </c>
      <c r="Q20" s="9" t="str">
        <f t="shared" si="3"/>
        <v/>
      </c>
    </row>
    <row r="21" spans="1:31" x14ac:dyDescent="0.3">
      <c r="A21" s="5" t="s">
        <v>13</v>
      </c>
      <c r="B21" s="5" t="s">
        <v>22</v>
      </c>
      <c r="C21" s="5">
        <v>3</v>
      </c>
      <c r="D21" s="5">
        <v>29</v>
      </c>
      <c r="E21" s="5">
        <v>10</v>
      </c>
      <c r="F21" s="5">
        <v>2</v>
      </c>
      <c r="G21" s="5">
        <v>8</v>
      </c>
      <c r="H21" s="5">
        <v>10</v>
      </c>
      <c r="I21" s="5">
        <v>2</v>
      </c>
      <c r="J21" s="5">
        <v>7</v>
      </c>
      <c r="K21" s="5">
        <v>1</v>
      </c>
      <c r="L21" s="5">
        <v>5</v>
      </c>
      <c r="M21" s="2" t="s">
        <v>35</v>
      </c>
      <c r="O21" s="9" t="str">
        <f t="shared" si="0"/>
        <v xml:space="preserve">    set_stats;Nightmare_19;HP,,STR,,MAG,,SKL,,SPD,,LCK,,DEF,,RES,;immediate</v>
      </c>
      <c r="P21" s="9" t="str">
        <f t="shared" si="1"/>
        <v/>
      </c>
      <c r="Q21" s="9" t="str">
        <f t="shared" si="3"/>
        <v/>
      </c>
    </row>
    <row r="22" spans="1:31" ht="28.2" thickBo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3" t="s">
        <v>36</v>
      </c>
      <c r="O22" s="9" t="str">
        <f t="shared" si="0"/>
        <v xml:space="preserve">    set_stats;Nightmare_20;HP,,STR,,MAG,,SKL,,SPD,,LCK,,DEF,,RES,;immediate</v>
      </c>
      <c r="P22" s="9" t="str">
        <f t="shared" si="1"/>
        <v/>
      </c>
      <c r="Q22" s="9" t="str">
        <f t="shared" si="3"/>
        <v/>
      </c>
    </row>
    <row r="23" spans="1:31" x14ac:dyDescent="0.3">
      <c r="A23" s="5" t="s">
        <v>13</v>
      </c>
      <c r="B23" s="5" t="s">
        <v>22</v>
      </c>
      <c r="C23" s="5">
        <v>3</v>
      </c>
      <c r="D23" s="5">
        <v>29</v>
      </c>
      <c r="E23" s="5">
        <v>11</v>
      </c>
      <c r="F23" s="5">
        <v>1</v>
      </c>
      <c r="G23" s="5">
        <v>8</v>
      </c>
      <c r="H23" s="5">
        <v>10</v>
      </c>
      <c r="I23" s="5">
        <v>2</v>
      </c>
      <c r="J23" s="5">
        <v>7</v>
      </c>
      <c r="K23" s="5">
        <v>1</v>
      </c>
      <c r="L23" s="5">
        <v>5</v>
      </c>
      <c r="M23" s="2" t="s">
        <v>35</v>
      </c>
      <c r="O23" s="9" t="str">
        <f t="shared" si="0"/>
        <v xml:space="preserve">    set_stats;Nightmare_21;HP,,STR,,MAG,,SKL,,SPD,,LCK,,DEF,,RES,;immediate</v>
      </c>
      <c r="P23" s="9" t="str">
        <f t="shared" si="1"/>
        <v/>
      </c>
      <c r="Q23" s="9" t="str">
        <f t="shared" si="3"/>
        <v/>
      </c>
    </row>
    <row r="24" spans="1:31" ht="28.2" thickBot="1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3" t="s">
        <v>36</v>
      </c>
      <c r="O24" s="9" t="str">
        <f t="shared" si="0"/>
        <v xml:space="preserve">    set_stats;Nightmare_22;HP,,STR,,MAG,,SKL,,SPD,,LCK,,DEF,,RES,;immediate</v>
      </c>
      <c r="P24" s="9" t="str">
        <f t="shared" si="1"/>
        <v/>
      </c>
      <c r="Q24" s="9" t="str">
        <f t="shared" si="3"/>
        <v/>
      </c>
    </row>
    <row r="25" spans="1:31" x14ac:dyDescent="0.3">
      <c r="A25" s="5" t="s">
        <v>13</v>
      </c>
      <c r="B25" s="5" t="s">
        <v>22</v>
      </c>
      <c r="C25" s="5">
        <v>3</v>
      </c>
      <c r="D25" s="5">
        <v>29</v>
      </c>
      <c r="E25" s="5">
        <v>11</v>
      </c>
      <c r="F25" s="5">
        <v>0</v>
      </c>
      <c r="G25" s="5">
        <v>8</v>
      </c>
      <c r="H25" s="5">
        <v>10</v>
      </c>
      <c r="I25" s="5">
        <v>2</v>
      </c>
      <c r="J25" s="5">
        <v>7</v>
      </c>
      <c r="K25" s="5">
        <v>2</v>
      </c>
      <c r="L25" s="5">
        <v>5</v>
      </c>
      <c r="M25" s="2" t="s">
        <v>35</v>
      </c>
      <c r="O25" s="9" t="str">
        <f t="shared" si="0"/>
        <v xml:space="preserve">    set_stats;Nightmare_23;HP,,STR,,MAG,,SKL,,SPD,,LCK,,DEF,,RES,;immediate</v>
      </c>
      <c r="P25" s="9" t="str">
        <f t="shared" si="1"/>
        <v/>
      </c>
      <c r="Q25" s="9" t="str">
        <f t="shared" si="3"/>
        <v/>
      </c>
    </row>
    <row r="26" spans="1:31" ht="28.2" thickBo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3" t="s">
        <v>36</v>
      </c>
      <c r="O26" s="9" t="str">
        <f t="shared" si="0"/>
        <v xml:space="preserve">    set_stats;Nightmare_24;HP,,STR,,MAG,,SKL,,SPD,,LCK,,DEF,,RES,;immediate</v>
      </c>
      <c r="P26" s="9" t="str">
        <f t="shared" si="1"/>
        <v/>
      </c>
      <c r="Q26" s="9" t="str">
        <f t="shared" si="3"/>
        <v/>
      </c>
    </row>
    <row r="27" spans="1:31" x14ac:dyDescent="0.3">
      <c r="A27" s="5" t="s">
        <v>13</v>
      </c>
      <c r="B27" s="5" t="s">
        <v>22</v>
      </c>
      <c r="C27" s="5">
        <v>3</v>
      </c>
      <c r="D27" s="5">
        <v>29</v>
      </c>
      <c r="E27" s="5">
        <v>11</v>
      </c>
      <c r="F27" s="5">
        <v>1</v>
      </c>
      <c r="G27" s="5">
        <v>8</v>
      </c>
      <c r="H27" s="5">
        <v>10</v>
      </c>
      <c r="I27" s="5">
        <v>2</v>
      </c>
      <c r="J27" s="5">
        <v>7</v>
      </c>
      <c r="K27" s="5">
        <v>2</v>
      </c>
      <c r="L27" s="5">
        <v>5</v>
      </c>
      <c r="M27" s="2" t="s">
        <v>35</v>
      </c>
      <c r="O27" s="9" t="str">
        <f t="shared" si="0"/>
        <v xml:space="preserve">    set_stats;Nightmare_25;HP,,STR,,MAG,,SKL,,SPD,,LCK,,DEF,,RES,;immediate</v>
      </c>
      <c r="P27" s="9" t="str">
        <f t="shared" si="1"/>
        <v/>
      </c>
      <c r="Q27" s="9" t="str">
        <f t="shared" si="3"/>
        <v/>
      </c>
    </row>
    <row r="28" spans="1:31" ht="28.2" thickBot="1" x14ac:dyDescent="0.3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3" t="s">
        <v>36</v>
      </c>
      <c r="O28" s="9" t="str">
        <f t="shared" si="0"/>
        <v xml:space="preserve">    set_stats;Nightmare_26;HP,,STR,,MAG,,SKL,,SPD,,LCK,,DEF,,RES,;immediate</v>
      </c>
      <c r="P28" s="9" t="str">
        <f t="shared" si="1"/>
        <v/>
      </c>
      <c r="Q28" s="9" t="str">
        <f t="shared" si="3"/>
        <v/>
      </c>
    </row>
    <row r="29" spans="1:31" x14ac:dyDescent="0.3">
      <c r="A29" s="5" t="s">
        <v>13</v>
      </c>
      <c r="B29" s="5" t="s">
        <v>22</v>
      </c>
      <c r="C29" s="5">
        <v>3</v>
      </c>
      <c r="D29" s="5">
        <v>29</v>
      </c>
      <c r="E29" s="5">
        <v>11</v>
      </c>
      <c r="F29" s="5">
        <v>0</v>
      </c>
      <c r="G29" s="5">
        <v>8</v>
      </c>
      <c r="H29" s="5">
        <v>10</v>
      </c>
      <c r="I29" s="5">
        <v>2</v>
      </c>
      <c r="J29" s="5">
        <v>7</v>
      </c>
      <c r="K29" s="5">
        <v>2</v>
      </c>
      <c r="L29" s="5">
        <v>5</v>
      </c>
      <c r="M29" s="2" t="s">
        <v>35</v>
      </c>
      <c r="O29" s="9" t="str">
        <f t="shared" si="0"/>
        <v xml:space="preserve">    set_stats;Nightmare_27;HP,,STR,,MAG,,SKL,,SPD,,LCK,,DEF,,RES,;immediate</v>
      </c>
      <c r="P29" s="9" t="str">
        <f t="shared" ref="P3:P29" si="4">IFERROR("modify_item_component;" &amp; $N$2 &amp; "_" &amp; (ROW(A28)-1) &amp; ";" &amp; SUBSTITUTE(TRIM(LEFT(AE29, FIND("(", AE29)-1)), " ", "_") &amp; ";" &amp; IF(ISNUMBER(SEARCH("mighty", AE29)), "damage", IF(ISNUMBER(SEARCH("mt", AE29)), "damage", IF(ISNUMBER(SEARCH("hit", AE29)), "hit", IF(ISNUMBER(SEARCH("crit", AE29)), "crit", IF(ISNUMBER(SEARCH("weight", AE29)), "weight", IF(ISNUMBER(SEARCH("wt", AE29)), "weight", "")))))) &amp; ";" &amp; TRIM(SUBSTITUTE(SUBSTITUTE(SUBSTITUTE(SUBSTITUTE(SUBSTITUTE(SUBSTITUTE(SUBSTITUTE(LOWER(MID(AE29, FIND("(", AE29) + 1, FIND(")", AE29) - FIND("(", AE29) - 1)), "mighty", ""), "mt", ""), "hit", ""), "crit", ""), "weight", ""), "wt", ""), "+", "")) &amp; ";additive", "")</f>
        <v/>
      </c>
      <c r="Q29" s="9" t="str">
        <f t="shared" si="3"/>
        <v/>
      </c>
    </row>
    <row r="30" spans="1:31" ht="28.2" thickBot="1" x14ac:dyDescent="0.3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3" t="s">
        <v>36</v>
      </c>
    </row>
    <row r="31" spans="1:31" ht="15" thickBot="1" x14ac:dyDescent="0.35">
      <c r="A31" s="1" t="s">
        <v>13</v>
      </c>
      <c r="B31" s="1" t="s">
        <v>22</v>
      </c>
      <c r="C31" s="1">
        <v>2</v>
      </c>
      <c r="D31" s="1">
        <v>27</v>
      </c>
      <c r="E31" s="1">
        <v>9</v>
      </c>
      <c r="F31" s="1">
        <v>0</v>
      </c>
      <c r="G31" s="1">
        <v>6</v>
      </c>
      <c r="H31" s="1">
        <v>8</v>
      </c>
      <c r="I31" s="1">
        <v>1</v>
      </c>
      <c r="J31" s="1">
        <v>5</v>
      </c>
      <c r="K31" s="1">
        <v>1</v>
      </c>
      <c r="L31" s="1">
        <v>5</v>
      </c>
      <c r="M31" s="1" t="s">
        <v>35</v>
      </c>
    </row>
    <row r="32" spans="1:31" ht="15" thickBot="1" x14ac:dyDescent="0.35">
      <c r="A32" s="1" t="s">
        <v>13</v>
      </c>
      <c r="B32" s="1" t="s">
        <v>22</v>
      </c>
      <c r="C32" s="1">
        <v>2</v>
      </c>
      <c r="D32" s="1">
        <v>27</v>
      </c>
      <c r="E32" s="1">
        <v>10</v>
      </c>
      <c r="F32" s="1">
        <v>0</v>
      </c>
      <c r="G32" s="1">
        <v>6</v>
      </c>
      <c r="H32" s="1">
        <v>8</v>
      </c>
      <c r="I32" s="1">
        <v>1</v>
      </c>
      <c r="J32" s="1">
        <v>5</v>
      </c>
      <c r="K32" s="1">
        <v>0</v>
      </c>
      <c r="L32" s="1">
        <v>5</v>
      </c>
      <c r="M32" s="1" t="s">
        <v>35</v>
      </c>
    </row>
    <row r="33" spans="1:13" ht="15" thickBot="1" x14ac:dyDescent="0.35">
      <c r="A33" s="1" t="s">
        <v>13</v>
      </c>
      <c r="B33" s="1" t="s">
        <v>22</v>
      </c>
      <c r="C33" s="1">
        <v>2</v>
      </c>
      <c r="D33" s="1">
        <v>27</v>
      </c>
      <c r="E33" s="1">
        <v>10</v>
      </c>
      <c r="F33" s="1">
        <v>1</v>
      </c>
      <c r="G33" s="1">
        <v>6</v>
      </c>
      <c r="H33" s="1">
        <v>8</v>
      </c>
      <c r="I33" s="1">
        <v>1</v>
      </c>
      <c r="J33" s="1">
        <v>5</v>
      </c>
      <c r="K33" s="1">
        <v>1</v>
      </c>
      <c r="L33" s="1">
        <v>5</v>
      </c>
      <c r="M33" s="1" t="s">
        <v>35</v>
      </c>
    </row>
    <row r="34" spans="1:13" ht="15" thickBot="1" x14ac:dyDescent="0.35">
      <c r="A34" s="1" t="s">
        <v>13</v>
      </c>
      <c r="B34" s="1" t="s">
        <v>22</v>
      </c>
      <c r="C34" s="1">
        <v>2</v>
      </c>
      <c r="D34" s="1">
        <v>27</v>
      </c>
      <c r="E34" s="1">
        <v>10</v>
      </c>
      <c r="F34" s="1">
        <v>0</v>
      </c>
      <c r="G34" s="1">
        <v>6</v>
      </c>
      <c r="H34" s="1">
        <v>8</v>
      </c>
      <c r="I34" s="1">
        <v>1</v>
      </c>
      <c r="J34" s="1">
        <v>5</v>
      </c>
      <c r="K34" s="1">
        <v>1</v>
      </c>
      <c r="L34" s="1">
        <v>5</v>
      </c>
      <c r="M34" s="1" t="s">
        <v>35</v>
      </c>
    </row>
    <row r="35" spans="1:13" ht="15" thickBot="1" x14ac:dyDescent="0.35">
      <c r="A35" s="1" t="s">
        <v>13</v>
      </c>
      <c r="B35" s="1" t="s">
        <v>22</v>
      </c>
      <c r="C35" s="1">
        <v>2</v>
      </c>
      <c r="D35" s="1">
        <v>27</v>
      </c>
      <c r="E35" s="1">
        <v>10</v>
      </c>
      <c r="F35" s="1">
        <v>0</v>
      </c>
      <c r="G35" s="1">
        <v>6</v>
      </c>
      <c r="H35" s="1">
        <v>8</v>
      </c>
      <c r="I35" s="1">
        <v>1</v>
      </c>
      <c r="J35" s="1">
        <v>5</v>
      </c>
      <c r="K35" s="1">
        <v>1</v>
      </c>
      <c r="L35" s="1">
        <v>5</v>
      </c>
      <c r="M35" s="1" t="s">
        <v>35</v>
      </c>
    </row>
  </sheetData>
  <mergeCells count="156">
    <mergeCell ref="G29:G30"/>
    <mergeCell ref="H29:H30"/>
    <mergeCell ref="I29:I30"/>
    <mergeCell ref="J29:J30"/>
    <mergeCell ref="K29:K30"/>
    <mergeCell ref="L29:L30"/>
    <mergeCell ref="A29:A30"/>
    <mergeCell ref="B29:B30"/>
    <mergeCell ref="C29:C30"/>
    <mergeCell ref="D29:D30"/>
    <mergeCell ref="E29:E30"/>
    <mergeCell ref="F29:F30"/>
    <mergeCell ref="G27:G28"/>
    <mergeCell ref="H27:H28"/>
    <mergeCell ref="I27:I28"/>
    <mergeCell ref="J27:J28"/>
    <mergeCell ref="K27:K28"/>
    <mergeCell ref="L27:L28"/>
    <mergeCell ref="A27:A28"/>
    <mergeCell ref="B27:B28"/>
    <mergeCell ref="C27:C28"/>
    <mergeCell ref="D27:D28"/>
    <mergeCell ref="E27:E28"/>
    <mergeCell ref="F27:F28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G23:G24"/>
    <mergeCell ref="H23:H24"/>
    <mergeCell ref="I23:I24"/>
    <mergeCell ref="J23:J24"/>
    <mergeCell ref="K23:K24"/>
    <mergeCell ref="L23:L24"/>
    <mergeCell ref="A23:A24"/>
    <mergeCell ref="B23:B24"/>
    <mergeCell ref="C23:C24"/>
    <mergeCell ref="D23:D24"/>
    <mergeCell ref="E23:E24"/>
    <mergeCell ref="F23:F24"/>
    <mergeCell ref="E16:E18"/>
    <mergeCell ref="F16:F18"/>
    <mergeCell ref="G16:G18"/>
    <mergeCell ref="H16:H18"/>
    <mergeCell ref="I16:I18"/>
    <mergeCell ref="J16:J18"/>
    <mergeCell ref="E13:E15"/>
    <mergeCell ref="F13:F15"/>
    <mergeCell ref="G13:G15"/>
    <mergeCell ref="H13:H15"/>
    <mergeCell ref="I13:I15"/>
    <mergeCell ref="J13:J15"/>
    <mergeCell ref="G21:G22"/>
    <mergeCell ref="H21:H22"/>
    <mergeCell ref="I21:I22"/>
    <mergeCell ref="J21:J22"/>
    <mergeCell ref="K21:K22"/>
    <mergeCell ref="L21:L22"/>
    <mergeCell ref="A21:A22"/>
    <mergeCell ref="B21:B22"/>
    <mergeCell ref="C21:C22"/>
    <mergeCell ref="D21:D22"/>
    <mergeCell ref="E21:E22"/>
    <mergeCell ref="F21:F22"/>
    <mergeCell ref="G19:G20"/>
    <mergeCell ref="H19:H20"/>
    <mergeCell ref="I19:I20"/>
    <mergeCell ref="J19:J20"/>
    <mergeCell ref="K19:K20"/>
    <mergeCell ref="L19:L20"/>
    <mergeCell ref="A19:A20"/>
    <mergeCell ref="B19:B20"/>
    <mergeCell ref="C19:C20"/>
    <mergeCell ref="D19:D20"/>
    <mergeCell ref="E19:E20"/>
    <mergeCell ref="F19:F20"/>
    <mergeCell ref="K16:K18"/>
    <mergeCell ref="L16:L18"/>
    <mergeCell ref="A16:A18"/>
    <mergeCell ref="B16:B18"/>
    <mergeCell ref="C16:C18"/>
    <mergeCell ref="D16:D18"/>
    <mergeCell ref="K13:K15"/>
    <mergeCell ref="L13:L15"/>
    <mergeCell ref="A13:A15"/>
    <mergeCell ref="B13:B15"/>
    <mergeCell ref="C13:C15"/>
    <mergeCell ref="D13:D15"/>
    <mergeCell ref="G10:G12"/>
    <mergeCell ref="H10:H12"/>
    <mergeCell ref="I10:I12"/>
    <mergeCell ref="J10:J12"/>
    <mergeCell ref="A10:A12"/>
    <mergeCell ref="B10:B12"/>
    <mergeCell ref="C10:C12"/>
    <mergeCell ref="D10:D12"/>
    <mergeCell ref="K10:K12"/>
    <mergeCell ref="L10:L12"/>
    <mergeCell ref="E10:E12"/>
    <mergeCell ref="F10:F12"/>
    <mergeCell ref="G8:G9"/>
    <mergeCell ref="H8:H9"/>
    <mergeCell ref="I8:I9"/>
    <mergeCell ref="J8:J9"/>
    <mergeCell ref="K8:K9"/>
    <mergeCell ref="L8:L9"/>
    <mergeCell ref="A8:A9"/>
    <mergeCell ref="B8:B9"/>
    <mergeCell ref="C8:C9"/>
    <mergeCell ref="D8:D9"/>
    <mergeCell ref="E8:E9"/>
    <mergeCell ref="F8:F9"/>
    <mergeCell ref="G6:G7"/>
    <mergeCell ref="H6:H7"/>
    <mergeCell ref="I6:I7"/>
    <mergeCell ref="J6:J7"/>
    <mergeCell ref="K6:K7"/>
    <mergeCell ref="L6:L7"/>
    <mergeCell ref="A6:A7"/>
    <mergeCell ref="B6:B7"/>
    <mergeCell ref="C6:C7"/>
    <mergeCell ref="D6:D7"/>
    <mergeCell ref="E6:E7"/>
    <mergeCell ref="F6:F7"/>
    <mergeCell ref="G4:G5"/>
    <mergeCell ref="H4:H5"/>
    <mergeCell ref="I4:I5"/>
    <mergeCell ref="J4:J5"/>
    <mergeCell ref="K4:K5"/>
    <mergeCell ref="L4:L5"/>
    <mergeCell ref="A4:A5"/>
    <mergeCell ref="B4:B5"/>
    <mergeCell ref="C4:C5"/>
    <mergeCell ref="D4:D5"/>
    <mergeCell ref="E4:E5"/>
    <mergeCell ref="F4:F5"/>
    <mergeCell ref="G2:G3"/>
    <mergeCell ref="H2:H3"/>
    <mergeCell ref="I2:I3"/>
    <mergeCell ref="J2:J3"/>
    <mergeCell ref="K2:K3"/>
    <mergeCell ref="L2:L3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 Binh</dc:creator>
  <cp:lastModifiedBy>Lam Binh</cp:lastModifiedBy>
  <dcterms:created xsi:type="dcterms:W3CDTF">2026-05-26T14:02:27Z</dcterms:created>
  <dcterms:modified xsi:type="dcterms:W3CDTF">2026-05-26T15:33:11Z</dcterms:modified>
</cp:coreProperties>
</file>